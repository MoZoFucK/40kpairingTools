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Estimes" sheetId="2" r:id="rId6"/>
    <sheet state="visible" name="Template Ronde x" sheetId="3" r:id="rId7"/>
    <sheet state="visible" name="Ronde 1" sheetId="4" r:id="rId8"/>
    <sheet state="visible" name="Ronde 2" sheetId="5" r:id="rId9"/>
    <sheet state="visible" name="Ronde 4" sheetId="6" r:id="rId10"/>
    <sheet state="visible" name="Ronde 5" sheetId="7" r:id="rId11"/>
  </sheets>
  <definedNames/>
  <calcPr/>
</workbook>
</file>

<file path=xl/sharedStrings.xml><?xml version="1.0" encoding="utf-8"?>
<sst xmlns="http://schemas.openxmlformats.org/spreadsheetml/2006/main" count="791" uniqueCount="146">
  <si>
    <t>Ronde :</t>
  </si>
  <si>
    <t>ROSTER L'art de la chance</t>
  </si>
  <si>
    <t>Armée</t>
  </si>
  <si>
    <t xml:space="preserve"> 🚧</t>
  </si>
  <si>
    <t>Joueur</t>
  </si>
  <si>
    <t>Liste</t>
  </si>
  <si>
    <t>Nous :</t>
  </si>
  <si>
    <t>Dark Angel Gladius</t>
  </si>
  <si>
    <t>ADLC</t>
  </si>
  <si>
    <t>Pharn Jonathan</t>
  </si>
  <si>
    <t>Scenario :</t>
  </si>
  <si>
    <t>Necrons</t>
  </si>
  <si>
    <t>Contre :</t>
  </si>
  <si>
    <t>AtadiloTho Jérome</t>
  </si>
  <si>
    <t>Tousand sons</t>
  </si>
  <si>
    <t>Necrons (AtadiloTho Jérome)</t>
  </si>
  <si>
    <t>Tousand sons (Xeroxjager Antoine)</t>
  </si>
  <si>
    <t>Tyranides (El_MoZo Morgan)</t>
  </si>
  <si>
    <t>Astra Militarum (Punkachien Marc)</t>
  </si>
  <si>
    <t>T au (DoubleRation David)</t>
  </si>
  <si>
    <t>Xeroxjager Antoine</t>
  </si>
  <si>
    <t>Matrice</t>
  </si>
  <si>
    <t>Tyranides</t>
  </si>
  <si>
    <t>El_MoZo Morgan</t>
  </si>
  <si>
    <t>(déplier pour voir)</t>
  </si>
  <si>
    <t>Astra Militarum</t>
  </si>
  <si>
    <t>Punkachien Marc</t>
  </si>
  <si>
    <t>T au</t>
  </si>
  <si>
    <t>DoubleRation David</t>
  </si>
  <si>
    <t>ROSTERS Challengers</t>
  </si>
  <si>
    <t>Ronde</t>
  </si>
  <si>
    <t>Adversaire</t>
  </si>
  <si>
    <t>Scenarios</t>
  </si>
  <si>
    <t>Necrons - wakened Dynasty</t>
  </si>
  <si>
    <t>Keyradin</t>
  </si>
  <si>
    <t>GSH</t>
  </si>
  <si>
    <t>B - Supply Drop / Tipping Point</t>
  </si>
  <si>
    <t>Ultramarines - Gladius</t>
  </si>
  <si>
    <t>Uma</t>
  </si>
  <si>
    <t>Miroir</t>
  </si>
  <si>
    <t>Ork - War Horde</t>
  </si>
  <si>
    <t>LouisC</t>
  </si>
  <si>
    <t>Votann - Hearthband</t>
  </si>
  <si>
    <t>Pastabolo</t>
  </si>
  <si>
    <t>Death Guard - Virulent Vectorium</t>
  </si>
  <si>
    <t>Urknar</t>
  </si>
  <si>
    <t>Custodes - Talons of Emperor</t>
  </si>
  <si>
    <t>LeMoff</t>
  </si>
  <si>
    <t>Dark Angel Gladius (Pharn Jonathan)</t>
  </si>
  <si>
    <t>Adeptus Mechanicus - HaloScreed</t>
  </si>
  <si>
    <t>Andhrim</t>
  </si>
  <si>
    <t>MTB</t>
  </si>
  <si>
    <t>E - Take and Hold / Hammer and Anvil</t>
  </si>
  <si>
    <t>Custodes - Shield Ost</t>
  </si>
  <si>
    <t>Raphi</t>
  </si>
  <si>
    <t>Necrons - wakened Dynasty (Keyradin)</t>
  </si>
  <si>
    <t>Ultramarines - Gladius (Uma)</t>
  </si>
  <si>
    <t>Ork - War Horde (LouisC)</t>
  </si>
  <si>
    <t>Votann - Hearthband (Pastabolo)</t>
  </si>
  <si>
    <t>Death Guard - Virulent Vectorium (Urknar)</t>
  </si>
  <si>
    <t>Chaos Space Marines - uron s Marauders</t>
  </si>
  <si>
    <t>Custodes - Talons of Emperor (LeMoff)</t>
  </si>
  <si>
    <t>Kthelmir</t>
  </si>
  <si>
    <t>N4sgull</t>
  </si>
  <si>
    <t>Tau - Mont ka</t>
  </si>
  <si>
    <t>Z0rr0</t>
  </si>
  <si>
    <t xml:space="preserve">Etape 1 </t>
  </si>
  <si>
    <t>Imperial Knights -  Questoris Companion</t>
  </si>
  <si>
    <t>Jintoh</t>
  </si>
  <si>
    <t>Pairing eux</t>
  </si>
  <si>
    <t>F - Hidden Supplies / Hammer and Anvil</t>
  </si>
  <si>
    <t xml:space="preserve">Retenu </t>
  </si>
  <si>
    <t>😀</t>
  </si>
  <si>
    <t>😐</t>
  </si>
  <si>
    <t>Space Wolf - Saga</t>
  </si>
  <si>
    <t>Dorgda35</t>
  </si>
  <si>
    <t>LVBBW</t>
  </si>
  <si>
    <t>😞</t>
  </si>
  <si>
    <t>Dispo Leur Defenseur</t>
  </si>
  <si>
    <t>O - Terraform / Crucible of Battle</t>
  </si>
  <si>
    <t>Dispo Notre Attaquant 1</t>
  </si>
  <si>
    <t>Dispo Notre Attaquant 2</t>
  </si>
  <si>
    <t>Leur Défenseur</t>
  </si>
  <si>
    <t>Chaos Knight - Lance Hordedogue</t>
  </si>
  <si>
    <t>elfman35</t>
  </si>
  <si>
    <t>Necrons - antheon of Woe</t>
  </si>
  <si>
    <t>Gros-quick</t>
  </si>
  <si>
    <t>Custodes - Ost Rempart</t>
  </si>
  <si>
    <t>Al1lebalez</t>
  </si>
  <si>
    <t>Astra Militarum - Grizzled Company</t>
  </si>
  <si>
    <t>Narza</t>
  </si>
  <si>
    <t>World Eaters - Berzerker Warband</t>
  </si>
  <si>
    <t>Vatrax</t>
  </si>
  <si>
    <t xml:space="preserve"> 🚧 Rien de selectionné 🚧</t>
  </si>
  <si>
    <t>Sideus</t>
  </si>
  <si>
    <t>LTA</t>
  </si>
  <si>
    <t>J - Linchpin / Search and Destroy</t>
  </si>
  <si>
    <t>La Loutre</t>
  </si>
  <si>
    <t>Chaos Knight - Infernal Lance</t>
  </si>
  <si>
    <t>S@rd</t>
  </si>
  <si>
    <t>Maniaka</t>
  </si>
  <si>
    <t>DeathWatch - Black Spear</t>
  </si>
  <si>
    <t>Pac</t>
  </si>
  <si>
    <t>Joe.Gillian</t>
  </si>
  <si>
    <t>Notre Attaquant 1</t>
  </si>
  <si>
    <t>Notre Attaquant 2</t>
  </si>
  <si>
    <t>Oui</t>
  </si>
  <si>
    <t>Non</t>
  </si>
  <si>
    <t xml:space="preserve">Pairing nous </t>
  </si>
  <si>
    <t>Dispo Notre Defenseur</t>
  </si>
  <si>
    <t>Dispo Leur Attaquant 1</t>
  </si>
  <si>
    <t>Dispo Leur Attaquant 2</t>
  </si>
  <si>
    <t>Notre Defenseur</t>
  </si>
  <si>
    <t>Leur Attaquant 1</t>
  </si>
  <si>
    <t>Leur Attaquant 2</t>
  </si>
  <si>
    <t>Etape 2</t>
  </si>
  <si>
    <t>A faire : visualiser les conséquences pour les oubliers</t>
  </si>
  <si>
    <t>Résumé Ronde</t>
  </si>
  <si>
    <t>TOS</t>
  </si>
  <si>
    <t>Joueur 1</t>
  </si>
  <si>
    <t>Score / 20</t>
  </si>
  <si>
    <t>Score / 100</t>
  </si>
  <si>
    <t>Résultat</t>
  </si>
  <si>
    <t>Match</t>
  </si>
  <si>
    <t>Table :</t>
  </si>
  <si>
    <t>🚧</t>
  </si>
  <si>
    <t>Rejetés</t>
  </si>
  <si>
    <t>Oubliés</t>
  </si>
  <si>
    <t>Adeptus Mechanicus - HaloScreed (Andhrim)</t>
  </si>
  <si>
    <t>Custodes - Shield Ost (Raphi)</t>
  </si>
  <si>
    <t>Chaos Space Marines - uron s Marauders (Kthelmir)</t>
  </si>
  <si>
    <t>Necrons - wakened Dynasty (N4sgull)</t>
  </si>
  <si>
    <t>Tau - Mont ka (Z0rr0)</t>
  </si>
  <si>
    <t>Imperial Knights -  Questoris Companion (Jintoh)</t>
  </si>
  <si>
    <t>Space Wolf - Saga (Dorgda35)</t>
  </si>
  <si>
    <t>Chaos Knight - Lance Hordedogue (elfman35)</t>
  </si>
  <si>
    <t>Necrons - antheon of Woe (Gros-quick)</t>
  </si>
  <si>
    <t>Custodes - Ost Rempart (Al1lebalez)</t>
  </si>
  <si>
    <t>Astra Militarum - Grizzled Company (Narza)</t>
  </si>
  <si>
    <t>World Eaters - Berzerker Warband (Vatrax)</t>
  </si>
  <si>
    <t>Custodes - Shield Ost (Sideus)</t>
  </si>
  <si>
    <t>Adeptus Mechanicus - HaloScreed (La Loutre)</t>
  </si>
  <si>
    <t>Chaos Knight - Infernal Lance (S@rd)</t>
  </si>
  <si>
    <t>Votann - Hearthband (Maniaka)</t>
  </si>
  <si>
    <t>DeathWatch - Black Spear (Pac)</t>
  </si>
  <si>
    <t>Imperial Knights -  Questoris Companion (Joe.Gillian)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</si>
</sst>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86CB31"/>
        <bgColor rgb="FF86CB31"/>
      </patternFill>
    </fill>
    <fill>
      <patternFill patternType="solid">
        <fgColor rgb="FFFFCC00"/>
        <bgColor rgb="FFFFCC00"/>
      </patternFill>
    </fill>
    <fill>
      <patternFill patternType="solid">
        <fgColor rgb="FFEA4335"/>
        <bgColor rgb="FFEA433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1" fillId="0" fontId="4" numFmtId="0" xfId="0" applyAlignment="1" applyBorder="1" applyFont="1">
      <alignment vertical="bottom"/>
    </xf>
    <xf borderId="1" fillId="0" fontId="2" numFmtId="0" xfId="0" applyBorder="1" applyFont="1"/>
    <xf borderId="0" fillId="2" fontId="1" numFmtId="0" xfId="0" applyAlignment="1" applyFill="1" applyFont="1">
      <alignment readingOrder="0"/>
    </xf>
    <xf borderId="1" fillId="3" fontId="2" numFmtId="0" xfId="0" applyBorder="1" applyFill="1" applyFont="1"/>
    <xf borderId="0" fillId="0" fontId="1" numFmtId="0" xfId="0" applyFont="1"/>
    <xf borderId="1" fillId="2" fontId="1" numFmtId="0" xfId="0" applyBorder="1" applyFill="1" applyFont="1"/>
    <xf borderId="0" fillId="3" fontId="1" numFmtId="0" xfId="0" applyAlignment="1" applyFill="1" applyFont="1">
      <alignment readingOrder="0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4" fontId="1" numFmtId="0" xfId="0" applyBorder="1" applyFill="1" applyFont="1"/>
    <xf borderId="0" fillId="0" fontId="1" numFmtId="0" xfId="0" applyAlignment="1" applyFont="1">
      <alignment readingOrder="0"/>
    </xf>
    <xf borderId="2" fillId="4" fontId="1" numFmtId="0" xfId="0" applyAlignment="1" applyBorder="1" applyFill="1" applyFont="1">
      <alignment vertical="center"/>
    </xf>
    <xf borderId="3" fillId="3" fontId="3" numFmtId="0" xfId="0" applyAlignment="1" applyBorder="1" applyFill="1" applyFont="1">
      <alignment horizontal="center" vertical="bottom"/>
    </xf>
    <xf borderId="4" fillId="0" fontId="6" numFmtId="0" xfId="0" applyBorder="1" applyFont="1"/>
    <xf borderId="5" fillId="0" fontId="6" numFmtId="0" xfId="0" applyBorder="1" applyFont="1"/>
    <xf borderId="0" fillId="4" fontId="4" numFmtId="0" xfId="0" applyAlignment="1" applyFill="1" applyFont="1">
      <alignment horizontal="right" readingOrder="0" vertical="bottom"/>
    </xf>
    <xf borderId="1" fillId="0" fontId="3" numFmtId="0" xfId="0" applyAlignment="1" applyBorder="1" applyFont="1">
      <alignment horizontal="left" vertical="bottom"/>
    </xf>
    <xf borderId="1" fillId="3" fontId="3" numFmtId="0" xfId="0" applyAlignment="1" applyBorder="1" applyFill="1" applyFont="1">
      <alignment horizontal="left" vertical="bottom"/>
    </xf>
    <xf borderId="6" fillId="0" fontId="6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horizontal="right" vertical="bottom"/>
    </xf>
    <xf borderId="1" fillId="4" fontId="4" numFmtId="0" xfId="0" applyAlignment="1" applyBorder="1" applyFill="1" applyFont="1">
      <alignment vertical="bottom"/>
    </xf>
    <xf borderId="0" fillId="0" fontId="1" numFmtId="0" xfId="0" applyAlignment="1" applyFont="1">
      <alignment horizontal="center"/>
    </xf>
    <xf borderId="1" fillId="4" fontId="4" numFmtId="0" xfId="0" applyAlignment="1" applyBorder="1" applyFill="1" applyFont="1">
      <alignment readingOrder="0" vertical="bottom"/>
    </xf>
    <xf borderId="7" fillId="0" fontId="6" numFmtId="0" xfId="0" applyBorder="1" applyFont="1"/>
    <xf borderId="2" fillId="4" fontId="4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vertical="center"/>
    </xf>
    <xf borderId="0" fillId="0" fontId="4" numFmtId="0" xfId="0" applyAlignment="1" applyFon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horizontal="right" readingOrder="0" vertical="bottom"/>
    </xf>
    <xf borderId="1" fillId="5" fontId="4" numFmtId="0" xfId="0" applyAlignment="1" applyBorder="1" applyFill="1" applyFont="1">
      <alignment horizontal="left" vertical="bottom"/>
    </xf>
    <xf borderId="1" fillId="6" fontId="4" numFmtId="0" xfId="0" applyAlignment="1" applyBorder="1" applyFill="1" applyFont="1">
      <alignment horizontal="left" vertical="bottom"/>
    </xf>
    <xf borderId="1" fillId="7" fontId="4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5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2" fontId="8" numFmtId="0" xfId="0" applyAlignment="1" applyBorder="1" applyFill="1" applyFont="1">
      <alignment horizontal="center" readingOrder="0"/>
    </xf>
    <xf borderId="1" fillId="0" fontId="9" numFmtId="0" xfId="0" applyBorder="1" applyFont="1"/>
    <xf borderId="1" fillId="2" fontId="9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3" fontId="9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readingOrder="0"/>
    </xf>
    <xf borderId="1" fillId="3" fontId="8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5"/>
    <col customWidth="1" min="2" max="2" width="35.0"/>
    <col customWidth="1" min="3" max="3" width="17.38"/>
    <col customWidth="1" min="4" max="4" width="40.38"/>
    <col customWidth="1" min="7" max="7" width="47.0"/>
  </cols>
  <sheetData>
    <row r="1">
      <c r="B1" s="3" t="s">
        <v>1</v>
      </c>
    </row>
    <row r="2">
      <c r="B2" s="4" t="s">
        <v>2</v>
      </c>
      <c r="C2" s="4" t="s">
        <v>4</v>
      </c>
      <c r="D2" s="4"/>
      <c r="E2" s="4" t="s">
        <v>5</v>
      </c>
    </row>
    <row r="3">
      <c r="B3" s="6" t="s">
        <v>7</v>
      </c>
      <c r="C3" s="6" t="s">
        <v>9</v>
      </c>
      <c r="D3" s="6" t="str">
        <f t="shared" ref="D3:D8" si="1">CONCATENATE(B3," (",C3,")")</f>
        <v>Dark Angel Gladius (Pharn Jonathan)</v>
      </c>
      <c r="E3" s="6"/>
    </row>
    <row r="4">
      <c r="B4" s="6" t="s">
        <v>11</v>
      </c>
      <c r="C4" s="6" t="s">
        <v>13</v>
      </c>
      <c r="D4" s="6" t="str">
        <f t="shared" si="1"/>
        <v>Necrons (AtadiloTho Jérome)</v>
      </c>
      <c r="E4" s="6"/>
    </row>
    <row r="5">
      <c r="B5" s="13" t="s">
        <v>14</v>
      </c>
      <c r="C5" s="6" t="s">
        <v>20</v>
      </c>
      <c r="D5" s="6" t="str">
        <f t="shared" si="1"/>
        <v>Tousand sons (Xeroxjager Antoine)</v>
      </c>
      <c r="E5" s="6"/>
    </row>
    <row r="6">
      <c r="B6" s="6" t="s">
        <v>22</v>
      </c>
      <c r="C6" s="6" t="s">
        <v>23</v>
      </c>
      <c r="D6" s="6" t="str">
        <f t="shared" si="1"/>
        <v>Tyranides (El_MoZo Morgan)</v>
      </c>
      <c r="E6" s="6"/>
    </row>
    <row r="7">
      <c r="B7" s="6" t="s">
        <v>25</v>
      </c>
      <c r="C7" s="6" t="s">
        <v>26</v>
      </c>
      <c r="D7" s="6" t="str">
        <f t="shared" si="1"/>
        <v>Astra Militarum (Punkachien Marc)</v>
      </c>
      <c r="E7" s="6"/>
    </row>
    <row r="8">
      <c r="B8" s="6" t="s">
        <v>27</v>
      </c>
      <c r="C8" s="6" t="s">
        <v>28</v>
      </c>
      <c r="D8" s="6" t="str">
        <f t="shared" si="1"/>
        <v>T au (DoubleRation David)</v>
      </c>
      <c r="E8" s="6"/>
    </row>
    <row r="11">
      <c r="B11" s="18" t="s">
        <v>29</v>
      </c>
      <c r="C11" s="19"/>
      <c r="D11" s="19"/>
      <c r="E11" s="19"/>
      <c r="F11" s="20"/>
    </row>
    <row r="12">
      <c r="A12" s="22" t="s">
        <v>30</v>
      </c>
      <c r="B12" s="23" t="s">
        <v>2</v>
      </c>
      <c r="C12" s="23" t="s">
        <v>4</v>
      </c>
      <c r="D12" s="23" t="s">
        <v>31</v>
      </c>
      <c r="E12" s="23" t="s">
        <v>5</v>
      </c>
      <c r="F12" s="23" t="s">
        <v>31</v>
      </c>
      <c r="G12" s="26" t="s">
        <v>32</v>
      </c>
    </row>
    <row r="13">
      <c r="A13" s="27">
        <v>1.0</v>
      </c>
      <c r="B13" s="28" t="s">
        <v>33</v>
      </c>
      <c r="C13" s="28" t="s">
        <v>34</v>
      </c>
      <c r="D13" s="28" t="str">
        <f t="shared" ref="D13:D42" si="2">CONCATENATE(B13," (",C13,")")</f>
        <v>Necrons - wakened Dynasty (Keyradin)</v>
      </c>
      <c r="E13" s="30"/>
      <c r="F13" s="32" t="s">
        <v>35</v>
      </c>
      <c r="G13" s="33" t="s">
        <v>36</v>
      </c>
    </row>
    <row r="14">
      <c r="A14" s="27">
        <v>1.0</v>
      </c>
      <c r="B14" s="28" t="s">
        <v>37</v>
      </c>
      <c r="C14" s="28" t="s">
        <v>38</v>
      </c>
      <c r="D14" s="28" t="str">
        <f t="shared" si="2"/>
        <v>Ultramarines - Gladius (Uma)</v>
      </c>
      <c r="E14" s="28"/>
      <c r="F14" s="24"/>
      <c r="G14" s="24"/>
    </row>
    <row r="15">
      <c r="A15" s="27">
        <v>1.0</v>
      </c>
      <c r="B15" s="28" t="s">
        <v>40</v>
      </c>
      <c r="C15" s="28" t="s">
        <v>41</v>
      </c>
      <c r="D15" s="28" t="str">
        <f t="shared" si="2"/>
        <v>Ork - War Horde (LouisC)</v>
      </c>
      <c r="E15" s="28"/>
      <c r="F15" s="24"/>
      <c r="G15" s="24"/>
    </row>
    <row r="16">
      <c r="A16" s="27">
        <v>1.0</v>
      </c>
      <c r="B16" s="28" t="s">
        <v>42</v>
      </c>
      <c r="C16" s="28" t="s">
        <v>43</v>
      </c>
      <c r="D16" s="28" t="str">
        <f t="shared" si="2"/>
        <v>Votann - Hearthband (Pastabolo)</v>
      </c>
      <c r="E16" s="28"/>
      <c r="F16" s="24"/>
      <c r="G16" s="24"/>
    </row>
    <row r="17">
      <c r="A17" s="27">
        <v>1.0</v>
      </c>
      <c r="B17" s="28" t="s">
        <v>44</v>
      </c>
      <c r="C17" s="28" t="s">
        <v>45</v>
      </c>
      <c r="D17" s="28" t="str">
        <f t="shared" si="2"/>
        <v>Death Guard - Virulent Vectorium (Urknar)</v>
      </c>
      <c r="E17" s="28"/>
      <c r="F17" s="24"/>
      <c r="G17" s="24"/>
    </row>
    <row r="18">
      <c r="A18" s="27">
        <v>1.0</v>
      </c>
      <c r="B18" s="28" t="s">
        <v>46</v>
      </c>
      <c r="C18" s="28" t="s">
        <v>47</v>
      </c>
      <c r="D18" s="28" t="str">
        <f t="shared" si="2"/>
        <v>Custodes - Talons of Emperor (LeMoff)</v>
      </c>
      <c r="E18" s="28"/>
      <c r="F18" s="31"/>
      <c r="G18" s="31"/>
    </row>
    <row r="19">
      <c r="A19" s="36">
        <v>2.0</v>
      </c>
      <c r="B19" s="6" t="s">
        <v>49</v>
      </c>
      <c r="C19" s="6" t="s">
        <v>50</v>
      </c>
      <c r="D19" s="6" t="str">
        <f t="shared" si="2"/>
        <v>Adeptus Mechanicus - HaloScreed (Andhrim)</v>
      </c>
      <c r="E19" s="6"/>
      <c r="F19" s="37" t="s">
        <v>51</v>
      </c>
      <c r="G19" s="38" t="s">
        <v>52</v>
      </c>
    </row>
    <row r="20">
      <c r="A20" s="36">
        <v>2.0</v>
      </c>
      <c r="B20" s="6" t="s">
        <v>53</v>
      </c>
      <c r="C20" s="6" t="s">
        <v>54</v>
      </c>
      <c r="D20" s="6" t="str">
        <f t="shared" si="2"/>
        <v>Custodes - Shield Ost (Raphi)</v>
      </c>
      <c r="E20" s="6"/>
      <c r="F20" s="24"/>
      <c r="G20" s="24"/>
    </row>
    <row r="21">
      <c r="A21" s="36">
        <v>2.0</v>
      </c>
      <c r="B21" s="6" t="s">
        <v>60</v>
      </c>
      <c r="C21" s="6" t="s">
        <v>62</v>
      </c>
      <c r="D21" s="6" t="str">
        <f t="shared" si="2"/>
        <v>Chaos Space Marines - uron s Marauders (Kthelmir)</v>
      </c>
      <c r="E21" s="6"/>
      <c r="F21" s="24"/>
      <c r="G21" s="24"/>
    </row>
    <row r="22">
      <c r="A22" s="36">
        <v>2.0</v>
      </c>
      <c r="B22" s="6" t="s">
        <v>33</v>
      </c>
      <c r="C22" s="6" t="s">
        <v>63</v>
      </c>
      <c r="D22" s="6" t="str">
        <f t="shared" si="2"/>
        <v>Necrons - wakened Dynasty (N4sgull)</v>
      </c>
      <c r="E22" s="6"/>
      <c r="F22" s="24"/>
      <c r="G22" s="24"/>
    </row>
    <row r="23">
      <c r="A23" s="36">
        <v>2.0</v>
      </c>
      <c r="B23" s="6" t="s">
        <v>64</v>
      </c>
      <c r="C23" s="6" t="s">
        <v>65</v>
      </c>
      <c r="D23" s="6" t="str">
        <f t="shared" si="2"/>
        <v>Tau - Mont ka (Z0rr0)</v>
      </c>
      <c r="E23" s="6"/>
      <c r="F23" s="24"/>
      <c r="G23" s="24"/>
    </row>
    <row r="24">
      <c r="A24" s="36">
        <v>2.0</v>
      </c>
      <c r="B24" s="6" t="s">
        <v>67</v>
      </c>
      <c r="C24" s="6" t="s">
        <v>68</v>
      </c>
      <c r="D24" s="6" t="str">
        <f t="shared" si="2"/>
        <v>Imperial Knights -  Questoris Companion (Jintoh)</v>
      </c>
      <c r="E24" s="6"/>
      <c r="F24" s="31"/>
      <c r="G24" s="31"/>
    </row>
    <row r="25">
      <c r="A25" s="27">
        <v>3.0</v>
      </c>
      <c r="B25" s="15"/>
      <c r="C25" s="15"/>
      <c r="D25" s="28" t="str">
        <f t="shared" si="2"/>
        <v> ()</v>
      </c>
      <c r="E25" s="28"/>
      <c r="F25" s="32"/>
      <c r="G25" s="33" t="s">
        <v>70</v>
      </c>
    </row>
    <row r="26">
      <c r="A26" s="27">
        <v>3.0</v>
      </c>
      <c r="B26" s="15"/>
      <c r="C26" s="15"/>
      <c r="D26" s="28" t="str">
        <f t="shared" si="2"/>
        <v> ()</v>
      </c>
      <c r="E26" s="28"/>
      <c r="F26" s="24"/>
      <c r="G26" s="24"/>
    </row>
    <row r="27">
      <c r="A27" s="27">
        <v>3.0</v>
      </c>
      <c r="B27" s="15"/>
      <c r="C27" s="15"/>
      <c r="D27" s="28" t="str">
        <f t="shared" si="2"/>
        <v> ()</v>
      </c>
      <c r="E27" s="28"/>
      <c r="F27" s="24"/>
      <c r="G27" s="24"/>
    </row>
    <row r="28">
      <c r="A28" s="27">
        <v>3.0</v>
      </c>
      <c r="B28" s="15"/>
      <c r="C28" s="15"/>
      <c r="D28" s="28" t="str">
        <f t="shared" si="2"/>
        <v> ()</v>
      </c>
      <c r="E28" s="28"/>
      <c r="F28" s="24"/>
      <c r="G28" s="24"/>
    </row>
    <row r="29">
      <c r="A29" s="27">
        <v>3.0</v>
      </c>
      <c r="B29" s="15"/>
      <c r="C29" s="15"/>
      <c r="D29" s="28" t="str">
        <f t="shared" si="2"/>
        <v> ()</v>
      </c>
      <c r="E29" s="28"/>
      <c r="F29" s="24"/>
      <c r="G29" s="24"/>
    </row>
    <row r="30">
      <c r="A30" s="27">
        <v>3.0</v>
      </c>
      <c r="B30" s="15"/>
      <c r="C30" s="15"/>
      <c r="D30" s="28" t="str">
        <f t="shared" si="2"/>
        <v> ()</v>
      </c>
      <c r="E30" s="28"/>
      <c r="F30" s="31"/>
      <c r="G30" s="31"/>
    </row>
    <row r="31">
      <c r="A31" s="36">
        <v>4.0</v>
      </c>
      <c r="B31" s="6" t="s">
        <v>74</v>
      </c>
      <c r="C31" s="6" t="s">
        <v>75</v>
      </c>
      <c r="D31" s="6" t="str">
        <f t="shared" si="2"/>
        <v>Space Wolf - Saga (Dorgda35)</v>
      </c>
      <c r="E31" s="6"/>
      <c r="F31" s="37" t="s">
        <v>76</v>
      </c>
      <c r="G31" s="38" t="s">
        <v>79</v>
      </c>
    </row>
    <row r="32">
      <c r="A32" s="36">
        <v>4.0</v>
      </c>
      <c r="B32" s="6" t="s">
        <v>83</v>
      </c>
      <c r="C32" s="6" t="s">
        <v>84</v>
      </c>
      <c r="D32" s="6" t="str">
        <f t="shared" si="2"/>
        <v>Chaos Knight - Lance Hordedogue (elfman35)</v>
      </c>
      <c r="E32" s="6"/>
      <c r="F32" s="24"/>
      <c r="G32" s="24"/>
    </row>
    <row r="33">
      <c r="A33" s="36">
        <v>4.0</v>
      </c>
      <c r="B33" s="6" t="s">
        <v>85</v>
      </c>
      <c r="C33" s="6" t="s">
        <v>86</v>
      </c>
      <c r="D33" s="6" t="str">
        <f t="shared" si="2"/>
        <v>Necrons - antheon of Woe (Gros-quick)</v>
      </c>
      <c r="E33" s="6"/>
      <c r="F33" s="24"/>
      <c r="G33" s="24"/>
    </row>
    <row r="34">
      <c r="A34" s="36">
        <v>4.0</v>
      </c>
      <c r="B34" s="6" t="s">
        <v>87</v>
      </c>
      <c r="C34" s="6" t="s">
        <v>88</v>
      </c>
      <c r="D34" s="6" t="str">
        <f t="shared" si="2"/>
        <v>Custodes - Ost Rempart (Al1lebalez)</v>
      </c>
      <c r="E34" s="6"/>
      <c r="F34" s="24"/>
      <c r="G34" s="24"/>
    </row>
    <row r="35">
      <c r="A35" s="36">
        <v>4.0</v>
      </c>
      <c r="B35" s="6" t="s">
        <v>89</v>
      </c>
      <c r="C35" s="6" t="s">
        <v>90</v>
      </c>
      <c r="D35" s="6" t="str">
        <f t="shared" si="2"/>
        <v>Astra Militarum - Grizzled Company (Narza)</v>
      </c>
      <c r="E35" s="6"/>
      <c r="F35" s="24"/>
      <c r="G35" s="24"/>
    </row>
    <row r="36">
      <c r="A36" s="36">
        <v>4.0</v>
      </c>
      <c r="B36" s="6" t="s">
        <v>91</v>
      </c>
      <c r="C36" s="6" t="s">
        <v>92</v>
      </c>
      <c r="D36" s="6" t="str">
        <f t="shared" si="2"/>
        <v>World Eaters - Berzerker Warband (Vatrax)</v>
      </c>
      <c r="E36" s="6"/>
      <c r="F36" s="31"/>
      <c r="G36" s="31"/>
    </row>
    <row r="37">
      <c r="A37" s="47">
        <v>5.0</v>
      </c>
      <c r="B37" s="28" t="s">
        <v>53</v>
      </c>
      <c r="C37" s="28" t="s">
        <v>94</v>
      </c>
      <c r="D37" s="28" t="str">
        <f t="shared" si="2"/>
        <v>Custodes - Shield Ost (Sideus)</v>
      </c>
      <c r="E37" s="28"/>
      <c r="F37" s="32" t="s">
        <v>95</v>
      </c>
      <c r="G37" s="33" t="s">
        <v>96</v>
      </c>
    </row>
    <row r="38">
      <c r="A38" s="47">
        <v>5.0</v>
      </c>
      <c r="B38" s="28" t="s">
        <v>49</v>
      </c>
      <c r="C38" s="28" t="s">
        <v>97</v>
      </c>
      <c r="D38" s="28" t="str">
        <f t="shared" si="2"/>
        <v>Adeptus Mechanicus - HaloScreed (La Loutre)</v>
      </c>
      <c r="E38" s="28"/>
      <c r="F38" s="24"/>
      <c r="G38" s="24"/>
    </row>
    <row r="39">
      <c r="A39" s="47">
        <v>5.0</v>
      </c>
      <c r="B39" s="28" t="s">
        <v>98</v>
      </c>
      <c r="C39" s="28" t="s">
        <v>99</v>
      </c>
      <c r="D39" s="28" t="str">
        <f t="shared" si="2"/>
        <v>Chaos Knight - Infernal Lance (S@rd)</v>
      </c>
      <c r="E39" s="28"/>
      <c r="F39" s="24"/>
      <c r="G39" s="24"/>
    </row>
    <row r="40">
      <c r="A40" s="47">
        <v>5.0</v>
      </c>
      <c r="B40" s="28" t="s">
        <v>42</v>
      </c>
      <c r="C40" s="28" t="s">
        <v>100</v>
      </c>
      <c r="D40" s="28" t="str">
        <f t="shared" si="2"/>
        <v>Votann - Hearthband (Maniaka)</v>
      </c>
      <c r="E40" s="28"/>
      <c r="F40" s="24"/>
      <c r="G40" s="24"/>
    </row>
    <row r="41">
      <c r="A41" s="47">
        <v>5.0</v>
      </c>
      <c r="B41" s="28" t="s">
        <v>101</v>
      </c>
      <c r="C41" s="28" t="s">
        <v>102</v>
      </c>
      <c r="D41" s="28" t="str">
        <f t="shared" si="2"/>
        <v>DeathWatch - Black Spear (Pac)</v>
      </c>
      <c r="E41" s="28"/>
      <c r="F41" s="24"/>
      <c r="G41" s="24"/>
    </row>
    <row r="42">
      <c r="A42" s="47">
        <v>5.0</v>
      </c>
      <c r="B42" s="28" t="s">
        <v>67</v>
      </c>
      <c r="C42" s="28" t="s">
        <v>103</v>
      </c>
      <c r="D42" s="28" t="str">
        <f t="shared" si="2"/>
        <v>Imperial Knights -  Questoris Companion (Joe.Gillian)</v>
      </c>
      <c r="E42" s="28"/>
      <c r="F42" s="31"/>
      <c r="G42" s="31"/>
    </row>
  </sheetData>
  <mergeCells count="12">
    <mergeCell ref="F25:F30"/>
    <mergeCell ref="F31:F36"/>
    <mergeCell ref="G31:G36"/>
    <mergeCell ref="F37:F42"/>
    <mergeCell ref="G37:G42"/>
    <mergeCell ref="B1:E1"/>
    <mergeCell ref="B11:F11"/>
    <mergeCell ref="F13:F18"/>
    <mergeCell ref="G13:G18"/>
    <mergeCell ref="F19:F24"/>
    <mergeCell ref="G19:G24"/>
    <mergeCell ref="G25:G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40.38"/>
    <col customWidth="1" min="5" max="5" width="28.75"/>
    <col customWidth="1" min="6" max="6" width="22.75"/>
    <col customWidth="1" min="7" max="7" width="27.0"/>
    <col customWidth="1" min="8" max="8" width="22.63"/>
    <col customWidth="1" min="9" max="9" width="26.5"/>
    <col customWidth="1" min="10" max="10" width="20.75"/>
    <col customWidth="1" min="11" max="11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7" t="str">
        <f>IFERROR(__xludf.DUMMYFUNCTION("QUERY(Rosters!A12:F42,""SELECT Col1, Col4, Col5, Col6"",1)"),"Ronde")</f>
        <v>Ronde</v>
      </c>
      <c r="B2" s="9" t="str">
        <f>IFERROR(__xludf.DUMMYFUNCTION("""COMPUTED_VALUE"""),"Adversaire")</f>
        <v>Adversaire</v>
      </c>
      <c r="C2" s="9" t="str">
        <f>IFERROR(__xludf.DUMMYFUNCTION("""COMPUTED_VALUE"""),"Liste")</f>
        <v>Liste</v>
      </c>
      <c r="D2" s="9" t="str">
        <f>IFERROR(__xludf.DUMMYFUNCTION("""COMPUTED_VALUE"""),"Adversaire")</f>
        <v>Adversaire</v>
      </c>
      <c r="E2" s="11" t="str">
        <f t="array" ref="E2:J2">TRANSPOSE(Rosters!D3:D8)</f>
        <v>Dark Angel Gladius (Pharn Jonathan)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</row>
    <row r="3">
      <c r="A3" s="15">
        <f>IFERROR(__xludf.DUMMYFUNCTION("""COMPUTED_VALUE"""),1.0)</f>
        <v>1</v>
      </c>
      <c r="B3" s="15" t="str">
        <f>IFERROR(__xludf.DUMMYFUNCTION("""COMPUTED_VALUE"""),"Necrons - wakened Dynasty (Keyradin)")</f>
        <v>Necrons - wakened Dynasty (Keyradin)</v>
      </c>
      <c r="C3" s="15"/>
      <c r="D3" s="17" t="str">
        <f>IFERROR(__xludf.DUMMYFUNCTION("""COMPUTED_VALUE"""),"GSH")</f>
        <v>GSH</v>
      </c>
      <c r="E3" s="21">
        <v>4.0</v>
      </c>
      <c r="F3" s="21">
        <v>3.0</v>
      </c>
      <c r="G3" s="21">
        <v>4.0</v>
      </c>
      <c r="H3" s="21">
        <v>3.0</v>
      </c>
      <c r="I3" s="21">
        <v>3.0</v>
      </c>
      <c r="J3" s="21">
        <v>2.0</v>
      </c>
    </row>
    <row r="4">
      <c r="A4" s="15">
        <f>IFERROR(__xludf.DUMMYFUNCTION("""COMPUTED_VALUE"""),1.0)</f>
        <v>1</v>
      </c>
      <c r="B4" s="15" t="str">
        <f>IFERROR(__xludf.DUMMYFUNCTION("""COMPUTED_VALUE"""),"Ultramarines - Gladius (Uma)")</f>
        <v>Ultramarines - Gladius (Uma)</v>
      </c>
      <c r="C4" s="15"/>
      <c r="D4" s="24"/>
      <c r="E4" s="21">
        <v>4.0</v>
      </c>
      <c r="F4" s="21">
        <v>4.0</v>
      </c>
      <c r="G4" s="21">
        <v>2.0</v>
      </c>
      <c r="H4" s="21">
        <v>5.0</v>
      </c>
      <c r="I4" s="21">
        <v>2.0</v>
      </c>
      <c r="J4" s="21">
        <v>3.0</v>
      </c>
    </row>
    <row r="5">
      <c r="A5" s="15">
        <f>IFERROR(__xludf.DUMMYFUNCTION("""COMPUTED_VALUE"""),1.0)</f>
        <v>1</v>
      </c>
      <c r="B5" s="15" t="str">
        <f>IFERROR(__xludf.DUMMYFUNCTION("""COMPUTED_VALUE"""),"Ork - War Horde (LouisC)")</f>
        <v>Ork - War Horde (LouisC)</v>
      </c>
      <c r="C5" s="15"/>
      <c r="D5" s="24"/>
      <c r="E5" s="21">
        <v>4.0</v>
      </c>
      <c r="F5" s="21">
        <v>4.0</v>
      </c>
      <c r="G5" s="21">
        <v>4.0</v>
      </c>
      <c r="H5" s="21">
        <v>1.0</v>
      </c>
      <c r="I5" s="21">
        <v>3.0</v>
      </c>
      <c r="J5" s="21">
        <v>2.0</v>
      </c>
    </row>
    <row r="6">
      <c r="A6" s="15">
        <f>IFERROR(__xludf.DUMMYFUNCTION("""COMPUTED_VALUE"""),1.0)</f>
        <v>1</v>
      </c>
      <c r="B6" s="15" t="str">
        <f>IFERROR(__xludf.DUMMYFUNCTION("""COMPUTED_VALUE"""),"Votann - Hearthband (Pastabolo)")</f>
        <v>Votann - Hearthband (Pastabolo)</v>
      </c>
      <c r="C6" s="15"/>
      <c r="D6" s="24"/>
      <c r="E6" s="21">
        <v>4.0</v>
      </c>
      <c r="F6" s="21">
        <v>4.0</v>
      </c>
      <c r="G6" s="21">
        <v>3.0</v>
      </c>
      <c r="H6" s="21">
        <v>4.0</v>
      </c>
      <c r="I6" s="21">
        <v>4.0</v>
      </c>
      <c r="J6" s="21">
        <v>4.0</v>
      </c>
    </row>
    <row r="7">
      <c r="A7" s="15">
        <f>IFERROR(__xludf.DUMMYFUNCTION("""COMPUTED_VALUE"""),1.0)</f>
        <v>1</v>
      </c>
      <c r="B7" s="15" t="str">
        <f>IFERROR(__xludf.DUMMYFUNCTION("""COMPUTED_VALUE"""),"Death Guard - Virulent Vectorium (Urknar)")</f>
        <v>Death Guard - Virulent Vectorium (Urknar)</v>
      </c>
      <c r="C7" s="15"/>
      <c r="D7" s="24"/>
      <c r="E7" s="21">
        <v>3.0</v>
      </c>
      <c r="F7" s="21">
        <v>4.0</v>
      </c>
      <c r="G7" s="21">
        <v>3.0</v>
      </c>
      <c r="H7" s="21">
        <v>4.0</v>
      </c>
      <c r="I7" s="21">
        <v>5.0</v>
      </c>
      <c r="J7" s="21">
        <v>3.0</v>
      </c>
    </row>
    <row r="8">
      <c r="A8" s="15">
        <f>IFERROR(__xludf.DUMMYFUNCTION("""COMPUTED_VALUE"""),1.0)</f>
        <v>1</v>
      </c>
      <c r="B8" s="15" t="str">
        <f>IFERROR(__xludf.DUMMYFUNCTION("""COMPUTED_VALUE"""),"Custodes - Talons of Emperor (LeMoff)")</f>
        <v>Custodes - Talons of Emperor (LeMoff)</v>
      </c>
      <c r="C8" s="15"/>
      <c r="D8" s="31"/>
      <c r="E8" s="21">
        <v>2.0</v>
      </c>
      <c r="F8" s="21">
        <v>2.0</v>
      </c>
      <c r="G8" s="21">
        <v>2.0</v>
      </c>
      <c r="H8" s="21">
        <v>4.0</v>
      </c>
      <c r="I8" s="21">
        <v>1.0</v>
      </c>
      <c r="J8" s="21">
        <v>4.0</v>
      </c>
    </row>
    <row r="9">
      <c r="A9" s="1">
        <f>IFERROR(__xludf.DUMMYFUNCTION("""COMPUTED_VALUE"""),2.0)</f>
        <v>2</v>
      </c>
      <c r="B9" s="1" t="str">
        <f>IFERROR(__xludf.DUMMYFUNCTION("""COMPUTED_VALUE"""),"Adeptus Mechanicus - HaloScreed (Andhrim)")</f>
        <v>Adeptus Mechanicus - HaloScreed (Andhrim)</v>
      </c>
      <c r="C9" s="1"/>
      <c r="D9" s="34" t="str">
        <f>IFERROR(__xludf.DUMMYFUNCTION("""COMPUTED_VALUE"""),"MTB")</f>
        <v>MTB</v>
      </c>
      <c r="E9" s="35">
        <v>3.0</v>
      </c>
      <c r="F9" s="35">
        <v>5.0</v>
      </c>
      <c r="G9" s="35">
        <v>2.0</v>
      </c>
      <c r="H9" s="35">
        <v>2.0</v>
      </c>
      <c r="I9" s="35">
        <v>2.0</v>
      </c>
      <c r="J9" s="35">
        <v>3.0</v>
      </c>
    </row>
    <row r="10">
      <c r="A10" s="1">
        <f>IFERROR(__xludf.DUMMYFUNCTION("""COMPUTED_VALUE"""),2.0)</f>
        <v>2</v>
      </c>
      <c r="B10" s="1" t="str">
        <f>IFERROR(__xludf.DUMMYFUNCTION("""COMPUTED_VALUE"""),"Custodes - Shield Ost (Raphi)")</f>
        <v>Custodes - Shield Ost (Raphi)</v>
      </c>
      <c r="C10" s="1"/>
      <c r="D10" s="24"/>
      <c r="E10" s="35">
        <v>2.0</v>
      </c>
      <c r="F10" s="35">
        <v>3.0</v>
      </c>
      <c r="G10" s="35">
        <v>3.0</v>
      </c>
      <c r="H10" s="35">
        <v>5.0</v>
      </c>
      <c r="I10" s="35">
        <v>1.0</v>
      </c>
      <c r="J10" s="35">
        <v>4.0</v>
      </c>
    </row>
    <row r="11">
      <c r="A11" s="1">
        <f>IFERROR(__xludf.DUMMYFUNCTION("""COMPUTED_VALUE"""),2.0)</f>
        <v>2</v>
      </c>
      <c r="B11" s="1" t="str">
        <f>IFERROR(__xludf.DUMMYFUNCTION("""COMPUTED_VALUE"""),"Chaos Space Marines - uron s Marauders (Kthelmir)")</f>
        <v>Chaos Space Marines - uron s Marauders (Kthelmir)</v>
      </c>
      <c r="C11" s="1"/>
      <c r="D11" s="24"/>
      <c r="E11" s="35">
        <v>4.0</v>
      </c>
      <c r="F11" s="35">
        <v>4.0</v>
      </c>
      <c r="G11" s="35">
        <v>3.0</v>
      </c>
      <c r="H11" s="35">
        <v>5.0</v>
      </c>
      <c r="I11" s="35">
        <v>3.0</v>
      </c>
      <c r="J11" s="35">
        <v>2.0</v>
      </c>
    </row>
    <row r="12">
      <c r="A12" s="1">
        <f>IFERROR(__xludf.DUMMYFUNCTION("""COMPUTED_VALUE"""),2.0)</f>
        <v>2</v>
      </c>
      <c r="B12" s="1" t="str">
        <f>IFERROR(__xludf.DUMMYFUNCTION("""COMPUTED_VALUE"""),"Necrons - wakened Dynasty (N4sgull)")</f>
        <v>Necrons - wakened Dynasty (N4sgull)</v>
      </c>
      <c r="C12" s="1"/>
      <c r="D12" s="24"/>
      <c r="E12" s="35">
        <v>4.0</v>
      </c>
      <c r="F12" s="35">
        <v>3.0</v>
      </c>
      <c r="G12" s="35">
        <v>4.0</v>
      </c>
      <c r="H12" s="35">
        <v>3.0</v>
      </c>
      <c r="I12" s="35">
        <v>3.0</v>
      </c>
      <c r="J12" s="35">
        <v>2.0</v>
      </c>
    </row>
    <row r="13">
      <c r="A13" s="1">
        <f>IFERROR(__xludf.DUMMYFUNCTION("""COMPUTED_VALUE"""),2.0)</f>
        <v>2</v>
      </c>
      <c r="B13" s="1" t="str">
        <f>IFERROR(__xludf.DUMMYFUNCTION("""COMPUTED_VALUE"""),"Tau - Mont ka (Z0rr0)")</f>
        <v>Tau - Mont ka (Z0rr0)</v>
      </c>
      <c r="C13" s="1"/>
      <c r="D13" s="24"/>
      <c r="E13" s="35">
        <v>2.0</v>
      </c>
      <c r="F13" s="35">
        <v>3.0</v>
      </c>
      <c r="G13" s="35">
        <v>4.0</v>
      </c>
      <c r="H13" s="35">
        <v>3.0</v>
      </c>
      <c r="I13" s="35">
        <v>3.0</v>
      </c>
      <c r="J13" s="35">
        <v>3.0</v>
      </c>
    </row>
    <row r="14">
      <c r="A14" s="1">
        <f>IFERROR(__xludf.DUMMYFUNCTION("""COMPUTED_VALUE"""),2.0)</f>
        <v>2</v>
      </c>
      <c r="B14" s="1" t="str">
        <f>IFERROR(__xludf.DUMMYFUNCTION("""COMPUTED_VALUE"""),"Imperial Knights -  Questoris Companion (Jintoh)")</f>
        <v>Imperial Knights -  Questoris Companion (Jintoh)</v>
      </c>
      <c r="C14" s="1"/>
      <c r="D14" s="31"/>
      <c r="E14" s="35">
        <v>4.0</v>
      </c>
      <c r="F14" s="35">
        <v>4.0</v>
      </c>
      <c r="G14" s="35">
        <v>3.0</v>
      </c>
      <c r="H14" s="35">
        <v>3.0</v>
      </c>
      <c r="I14" s="35">
        <v>3.0</v>
      </c>
      <c r="J14" s="35">
        <v>2.0</v>
      </c>
    </row>
    <row r="15">
      <c r="A15" s="15">
        <f>IFERROR(__xludf.DUMMYFUNCTION("""COMPUTED_VALUE"""),3.0)</f>
        <v>3</v>
      </c>
      <c r="B15" s="15" t="str">
        <f>IFERROR(__xludf.DUMMYFUNCTION("""COMPUTED_VALUE""")," ()")</f>
        <v> ()</v>
      </c>
      <c r="C15" s="15"/>
      <c r="D15" s="17"/>
      <c r="E15" s="21"/>
      <c r="F15" s="21"/>
      <c r="G15" s="21"/>
      <c r="H15" s="21"/>
      <c r="I15" s="21"/>
      <c r="J15" s="21"/>
    </row>
    <row r="16">
      <c r="A16" s="15">
        <f>IFERROR(__xludf.DUMMYFUNCTION("""COMPUTED_VALUE"""),3.0)</f>
        <v>3</v>
      </c>
      <c r="B16" s="15" t="str">
        <f>IFERROR(__xludf.DUMMYFUNCTION("""COMPUTED_VALUE""")," ()")</f>
        <v> ()</v>
      </c>
      <c r="C16" s="15"/>
      <c r="D16" s="24"/>
      <c r="E16" s="21"/>
      <c r="F16" s="21"/>
      <c r="G16" s="21"/>
      <c r="H16" s="21"/>
      <c r="I16" s="21"/>
      <c r="J16" s="21"/>
    </row>
    <row r="17">
      <c r="A17" s="15">
        <f>IFERROR(__xludf.DUMMYFUNCTION("""COMPUTED_VALUE"""),3.0)</f>
        <v>3</v>
      </c>
      <c r="B17" s="15" t="str">
        <f>IFERROR(__xludf.DUMMYFUNCTION("""COMPUTED_VALUE""")," ()")</f>
        <v> ()</v>
      </c>
      <c r="C17" s="15"/>
      <c r="D17" s="24"/>
      <c r="E17" s="21"/>
      <c r="F17" s="21"/>
      <c r="G17" s="21"/>
      <c r="H17" s="21"/>
      <c r="I17" s="21"/>
      <c r="J17" s="21"/>
    </row>
    <row r="18">
      <c r="A18" s="15">
        <f>IFERROR(__xludf.DUMMYFUNCTION("""COMPUTED_VALUE"""),3.0)</f>
        <v>3</v>
      </c>
      <c r="B18" s="15" t="str">
        <f>IFERROR(__xludf.DUMMYFUNCTION("""COMPUTED_VALUE""")," ()")</f>
        <v> ()</v>
      </c>
      <c r="C18" s="15"/>
      <c r="D18" s="24"/>
      <c r="E18" s="21"/>
      <c r="F18" s="21"/>
      <c r="G18" s="21"/>
      <c r="H18" s="21"/>
      <c r="I18" s="21"/>
      <c r="J18" s="21"/>
    </row>
    <row r="19">
      <c r="A19" s="15">
        <f>IFERROR(__xludf.DUMMYFUNCTION("""COMPUTED_VALUE"""),3.0)</f>
        <v>3</v>
      </c>
      <c r="B19" s="15" t="str">
        <f>IFERROR(__xludf.DUMMYFUNCTION("""COMPUTED_VALUE""")," ()")</f>
        <v> ()</v>
      </c>
      <c r="C19" s="15"/>
      <c r="D19" s="24"/>
      <c r="E19" s="21"/>
      <c r="F19" s="21"/>
      <c r="G19" s="21"/>
      <c r="H19" s="21"/>
      <c r="I19" s="21"/>
      <c r="J19" s="21"/>
    </row>
    <row r="20">
      <c r="A20" s="15">
        <f>IFERROR(__xludf.DUMMYFUNCTION("""COMPUTED_VALUE"""),3.0)</f>
        <v>3</v>
      </c>
      <c r="B20" s="15" t="str">
        <f>IFERROR(__xludf.DUMMYFUNCTION("""COMPUTED_VALUE""")," ()")</f>
        <v> ()</v>
      </c>
      <c r="C20" s="15"/>
      <c r="D20" s="31"/>
      <c r="E20" s="21"/>
      <c r="F20" s="21"/>
      <c r="G20" s="21"/>
      <c r="H20" s="21"/>
      <c r="I20" s="21"/>
      <c r="J20" s="21"/>
    </row>
    <row r="21">
      <c r="A21" s="1">
        <f>IFERROR(__xludf.DUMMYFUNCTION("""COMPUTED_VALUE"""),4.0)</f>
        <v>4</v>
      </c>
      <c r="B21" s="1" t="str">
        <f>IFERROR(__xludf.DUMMYFUNCTION("""COMPUTED_VALUE"""),"Space Wolf - Saga (Dorgda35)")</f>
        <v>Space Wolf - Saga (Dorgda35)</v>
      </c>
      <c r="C21" s="1"/>
      <c r="D21" s="34" t="str">
        <f>IFERROR(__xludf.DUMMYFUNCTION("""COMPUTED_VALUE"""),"LVBBW")</f>
        <v>LVBBW</v>
      </c>
      <c r="E21" s="35">
        <v>4.0</v>
      </c>
      <c r="F21" s="35">
        <v>3.0</v>
      </c>
      <c r="G21" s="35">
        <v>2.0</v>
      </c>
      <c r="H21" s="35">
        <v>4.0</v>
      </c>
      <c r="I21" s="35">
        <v>4.0</v>
      </c>
      <c r="J21" s="35">
        <v>3.0</v>
      </c>
    </row>
    <row r="22">
      <c r="A22" s="1">
        <f>IFERROR(__xludf.DUMMYFUNCTION("""COMPUTED_VALUE"""),4.0)</f>
        <v>4</v>
      </c>
      <c r="B22" s="1" t="str">
        <f>IFERROR(__xludf.DUMMYFUNCTION("""COMPUTED_VALUE"""),"Chaos Knight - Lance Hordedogue (elfman35)")</f>
        <v>Chaos Knight - Lance Hordedogue (elfman35)</v>
      </c>
      <c r="C22" s="1"/>
      <c r="D22" s="24"/>
      <c r="E22" s="35">
        <v>3.0</v>
      </c>
      <c r="F22" s="35">
        <v>3.0</v>
      </c>
      <c r="G22" s="35">
        <v>4.0</v>
      </c>
      <c r="H22" s="35">
        <v>3.0</v>
      </c>
      <c r="I22" s="35">
        <v>2.0</v>
      </c>
      <c r="J22" s="35">
        <v>2.0</v>
      </c>
    </row>
    <row r="23">
      <c r="A23" s="1">
        <f>IFERROR(__xludf.DUMMYFUNCTION("""COMPUTED_VALUE"""),4.0)</f>
        <v>4</v>
      </c>
      <c r="B23" s="1" t="str">
        <f>IFERROR(__xludf.DUMMYFUNCTION("""COMPUTED_VALUE"""),"Necrons - antheon of Woe (Gros-quick)")</f>
        <v>Necrons - antheon of Woe (Gros-quick)</v>
      </c>
      <c r="C23" s="1"/>
      <c r="D23" s="24"/>
      <c r="E23" s="35">
        <v>4.0</v>
      </c>
      <c r="F23" s="35">
        <v>3.0</v>
      </c>
      <c r="G23" s="35">
        <v>4.0</v>
      </c>
      <c r="H23" s="35">
        <v>2.0</v>
      </c>
      <c r="I23" s="35">
        <v>3.0</v>
      </c>
      <c r="J23" s="35">
        <v>2.0</v>
      </c>
    </row>
    <row r="24">
      <c r="A24" s="1">
        <f>IFERROR(__xludf.DUMMYFUNCTION("""COMPUTED_VALUE"""),4.0)</f>
        <v>4</v>
      </c>
      <c r="B24" s="1" t="str">
        <f>IFERROR(__xludf.DUMMYFUNCTION("""COMPUTED_VALUE"""),"Custodes - Ost Rempart (Al1lebalez)")</f>
        <v>Custodes - Ost Rempart (Al1lebalez)</v>
      </c>
      <c r="C24" s="1"/>
      <c r="D24" s="24"/>
      <c r="E24" s="35">
        <v>2.0</v>
      </c>
      <c r="F24" s="35">
        <v>3.0</v>
      </c>
      <c r="G24" s="35">
        <v>3.0</v>
      </c>
      <c r="H24" s="35">
        <v>5.0</v>
      </c>
      <c r="I24" s="35">
        <v>1.0</v>
      </c>
      <c r="J24" s="35">
        <v>4.0</v>
      </c>
    </row>
    <row r="25">
      <c r="A25" s="1">
        <f>IFERROR(__xludf.DUMMYFUNCTION("""COMPUTED_VALUE"""),4.0)</f>
        <v>4</v>
      </c>
      <c r="B25" s="1" t="str">
        <f>IFERROR(__xludf.DUMMYFUNCTION("""COMPUTED_VALUE"""),"Astra Militarum - Grizzled Company (Narza)")</f>
        <v>Astra Militarum - Grizzled Company (Narza)</v>
      </c>
      <c r="C25" s="1"/>
      <c r="D25" s="24"/>
      <c r="E25" s="35">
        <v>2.0</v>
      </c>
      <c r="F25" s="35">
        <v>3.0</v>
      </c>
      <c r="G25" s="35">
        <v>3.0</v>
      </c>
      <c r="H25" s="35">
        <v>3.0</v>
      </c>
      <c r="I25" s="35">
        <v>3.0</v>
      </c>
      <c r="J25" s="35">
        <v>2.0</v>
      </c>
    </row>
    <row r="26">
      <c r="A26" s="1">
        <f>IFERROR(__xludf.DUMMYFUNCTION("""COMPUTED_VALUE"""),4.0)</f>
        <v>4</v>
      </c>
      <c r="B26" s="1" t="str">
        <f>IFERROR(__xludf.DUMMYFUNCTION("""COMPUTED_VALUE"""),"World Eaters - Berzerker Warband (Vatrax)")</f>
        <v>World Eaters - Berzerker Warband (Vatrax)</v>
      </c>
      <c r="C26" s="1"/>
      <c r="D26" s="31"/>
      <c r="E26" s="35">
        <v>3.0</v>
      </c>
      <c r="F26" s="35">
        <v>2.0</v>
      </c>
      <c r="G26" s="35">
        <v>3.0</v>
      </c>
      <c r="H26" s="35">
        <v>4.0</v>
      </c>
      <c r="I26" s="35">
        <v>4.0</v>
      </c>
      <c r="J26" s="35">
        <v>2.0</v>
      </c>
    </row>
    <row r="27">
      <c r="A27" s="15">
        <f>IFERROR(__xludf.DUMMYFUNCTION("""COMPUTED_VALUE"""),5.0)</f>
        <v>5</v>
      </c>
      <c r="B27" s="15" t="str">
        <f>IFERROR(__xludf.DUMMYFUNCTION("""COMPUTED_VALUE"""),"Custodes - Shield Ost (Sideus)")</f>
        <v>Custodes - Shield Ost (Sideus)</v>
      </c>
      <c r="C27" s="15"/>
      <c r="D27" s="17" t="str">
        <f>IFERROR(__xludf.DUMMYFUNCTION("""COMPUTED_VALUE"""),"LTA")</f>
        <v>LTA</v>
      </c>
      <c r="E27" s="21">
        <v>2.0</v>
      </c>
      <c r="F27" s="21">
        <v>2.0</v>
      </c>
      <c r="G27" s="21">
        <v>3.0</v>
      </c>
      <c r="H27" s="21">
        <v>5.0</v>
      </c>
      <c r="I27" s="21">
        <v>1.0</v>
      </c>
      <c r="J27" s="21">
        <v>4.0</v>
      </c>
    </row>
    <row r="28">
      <c r="A28" s="15">
        <f>IFERROR(__xludf.DUMMYFUNCTION("""COMPUTED_VALUE"""),5.0)</f>
        <v>5</v>
      </c>
      <c r="B28" s="15" t="str">
        <f>IFERROR(__xludf.DUMMYFUNCTION("""COMPUTED_VALUE"""),"Adeptus Mechanicus - HaloScreed (La Loutre)")</f>
        <v>Adeptus Mechanicus - HaloScreed (La Loutre)</v>
      </c>
      <c r="C28" s="15"/>
      <c r="D28" s="24"/>
      <c r="E28" s="21">
        <v>4.0</v>
      </c>
      <c r="F28" s="21">
        <v>3.0</v>
      </c>
      <c r="G28" s="21">
        <v>3.0</v>
      </c>
      <c r="H28" s="21">
        <v>3.0</v>
      </c>
      <c r="I28" s="21">
        <v>2.0</v>
      </c>
      <c r="J28" s="21">
        <v>3.0</v>
      </c>
    </row>
    <row r="29">
      <c r="A29" s="15">
        <f>IFERROR(__xludf.DUMMYFUNCTION("""COMPUTED_VALUE"""),5.0)</f>
        <v>5</v>
      </c>
      <c r="B29" s="15" t="str">
        <f>IFERROR(__xludf.DUMMYFUNCTION("""COMPUTED_VALUE"""),"Chaos Knight - Infernal Lance (S@rd)")</f>
        <v>Chaos Knight - Infernal Lance (S@rd)</v>
      </c>
      <c r="C29" s="15"/>
      <c r="D29" s="24"/>
      <c r="E29" s="21">
        <v>3.0</v>
      </c>
      <c r="F29" s="21">
        <v>4.0</v>
      </c>
      <c r="G29" s="21">
        <v>3.0</v>
      </c>
      <c r="H29" s="21">
        <v>2.0</v>
      </c>
      <c r="I29" s="21">
        <v>4.0</v>
      </c>
      <c r="J29" s="21">
        <v>2.0</v>
      </c>
    </row>
    <row r="30">
      <c r="A30" s="15">
        <f>IFERROR(__xludf.DUMMYFUNCTION("""COMPUTED_VALUE"""),5.0)</f>
        <v>5</v>
      </c>
      <c r="B30" s="15" t="str">
        <f>IFERROR(__xludf.DUMMYFUNCTION("""COMPUTED_VALUE"""),"Votann - Hearthband (Maniaka)")</f>
        <v>Votann - Hearthband (Maniaka)</v>
      </c>
      <c r="C30" s="15"/>
      <c r="D30" s="24"/>
      <c r="E30" s="21">
        <v>4.0</v>
      </c>
      <c r="F30" s="21">
        <v>4.0</v>
      </c>
      <c r="G30" s="21">
        <v>3.0</v>
      </c>
      <c r="H30" s="21">
        <v>4.0</v>
      </c>
      <c r="I30" s="21">
        <v>4.0</v>
      </c>
      <c r="J30" s="21">
        <v>4.0</v>
      </c>
    </row>
    <row r="31">
      <c r="A31" s="15">
        <f>IFERROR(__xludf.DUMMYFUNCTION("""COMPUTED_VALUE"""),5.0)</f>
        <v>5</v>
      </c>
      <c r="B31" s="15" t="str">
        <f>IFERROR(__xludf.DUMMYFUNCTION("""COMPUTED_VALUE"""),"DeathWatch - Black Spear (Pac)")</f>
        <v>DeathWatch - Black Spear (Pac)</v>
      </c>
      <c r="C31" s="15"/>
      <c r="D31" s="24"/>
      <c r="E31" s="21">
        <v>2.0</v>
      </c>
      <c r="F31" s="21">
        <v>3.0</v>
      </c>
      <c r="G31" s="21">
        <v>4.0</v>
      </c>
      <c r="H31" s="21">
        <v>5.0</v>
      </c>
      <c r="I31" s="21">
        <v>3.0</v>
      </c>
      <c r="J31" s="21">
        <v>3.0</v>
      </c>
    </row>
    <row r="32">
      <c r="A32" s="15">
        <f>IFERROR(__xludf.DUMMYFUNCTION("""COMPUTED_VALUE"""),5.0)</f>
        <v>5</v>
      </c>
      <c r="B32" s="15" t="str">
        <f>IFERROR(__xludf.DUMMYFUNCTION("""COMPUTED_VALUE"""),"Imperial Knights -  Questoris Companion (Joe.Gillian)")</f>
        <v>Imperial Knights -  Questoris Companion (Joe.Gillian)</v>
      </c>
      <c r="C32" s="15"/>
      <c r="D32" s="31"/>
      <c r="E32" s="21">
        <v>3.0</v>
      </c>
      <c r="F32" s="21">
        <v>4.0</v>
      </c>
      <c r="G32" s="21">
        <v>2.0</v>
      </c>
      <c r="H32" s="21">
        <v>2.0</v>
      </c>
      <c r="I32" s="21">
        <v>3.0</v>
      </c>
      <c r="J32" s="21">
        <v>2.0</v>
      </c>
    </row>
  </sheetData>
  <mergeCells count="5">
    <mergeCell ref="D3:D8"/>
    <mergeCell ref="D9:D14"/>
    <mergeCell ref="D15:D20"/>
    <mergeCell ref="D21:D26"/>
    <mergeCell ref="D27:D32"/>
  </mergeCells>
  <dataValidations>
    <dataValidation type="list" allowBlank="1" showErrorMessage="1" sqref="E3:J32">
      <formula1>"1,2,3,4,5,6,Je sais pas"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13"/>
    <col customWidth="1" min="2" max="2" width="36.88"/>
    <col customWidth="1" min="3" max="3" width="10.38"/>
    <col customWidth="1" min="4" max="6" width="31.25"/>
    <col customWidth="1" min="7" max="7" width="54.0"/>
    <col customWidth="1" min="8" max="10" width="27.25"/>
  </cols>
  <sheetData>
    <row r="1">
      <c r="A1" s="2" t="s">
        <v>0</v>
      </c>
      <c r="B1" s="5" t="s">
        <v>3</v>
      </c>
      <c r="C1" s="2" t="s">
        <v>6</v>
      </c>
      <c r="D1" s="8" t="s">
        <v>8</v>
      </c>
      <c r="E1" s="2" t="s">
        <v>10</v>
      </c>
      <c r="F1" s="10" t="str">
        <f>IFERROR(__xludf.DUMMYFUNCTION("QUERY(Rosters!A13:G42,CONCATENATE(""select Col7  where Col1="",B1, ""limit 1""))"),"#VALUE!")</f>
        <v>#VALUE!</v>
      </c>
    </row>
    <row r="2">
      <c r="C2" s="2" t="s">
        <v>12</v>
      </c>
      <c r="D2" s="12" t="str">
        <f>IFERROR(__xludf.DUMMYFUNCTION("QUERY(Estimes!A3:J32,CONCATENATE(""select Col4  where Col1="",B1, ""limit 1""))"),"#VALUE!")</f>
        <v>#VALUE!</v>
      </c>
    </row>
    <row r="3" collapsed="1">
      <c r="A3" s="14" t="s">
        <v>21</v>
      </c>
      <c r="B3" s="16" t="s">
        <v>24</v>
      </c>
    </row>
    <row r="4" hidden="1" outlineLevel="1">
      <c r="A4" s="6"/>
      <c r="B4" s="1" t="str">
        <f>IFERROR(__xludf.DUMMYFUNCTION("QUERY(Estimes!E2:J2)"),"Dark Angel Gladius (Pharn Jonathan)")</f>
        <v>Dark Angel Gladius (Pharn Jonathan)</v>
      </c>
      <c r="C4" s="1" t="str">
        <f>IFERROR(__xludf.DUMMYFUNCTION("""COMPUTED_VALUE"""),"Necrons (AtadiloTho Jérome)")</f>
        <v>Necrons (AtadiloTho Jérome)</v>
      </c>
      <c r="D4" s="1" t="str">
        <f>IFERROR(__xludf.DUMMYFUNCTION("""COMPUTED_VALUE"""),"Tousand sons (Xeroxjager Antoine)")</f>
        <v>Tousand sons (Xeroxjager Antoine)</v>
      </c>
      <c r="E4" s="1" t="str">
        <f>IFERROR(__xludf.DUMMYFUNCTION("""COMPUTED_VALUE"""),"Tyranides (El_MoZo Morgan)")</f>
        <v>Tyranides (El_MoZo Morgan)</v>
      </c>
      <c r="F4" s="1" t="str">
        <f>IFERROR(__xludf.DUMMYFUNCTION("""COMPUTED_VALUE"""),"Astra Militarum (Punkachien Marc)")</f>
        <v>Astra Militarum (Punkachien Marc)</v>
      </c>
      <c r="G4" s="1" t="str">
        <f>IFERROR(__xludf.DUMMYFUNCTION("""COMPUTED_VALUE"""),"T au (DoubleRation David)")</f>
        <v>T au (DoubleRation David)</v>
      </c>
    </row>
    <row r="5" hidden="1" outlineLevel="1">
      <c r="A5" s="1" t="str">
        <f>IFERROR(__xludf.DUMMYFUNCTION("QUERY(Estimes!A3:J32,CONCATENATE(""select Col2, Col5, Col6, Col7, Col8, Col9, Col10  where Col1="",B1))"),"#VALUE!")</f>
        <v>#VALUE!</v>
      </c>
      <c r="B5" s="25"/>
      <c r="C5" s="25"/>
      <c r="D5" s="25"/>
      <c r="E5" s="25"/>
      <c r="F5" s="25"/>
      <c r="G5" s="25"/>
      <c r="H5" s="29"/>
      <c r="I5" s="29"/>
    </row>
    <row r="6" hidden="1" outlineLevel="1">
      <c r="A6" s="1"/>
      <c r="B6" s="25"/>
      <c r="C6" s="25"/>
      <c r="D6" s="25"/>
      <c r="E6" s="25"/>
      <c r="F6" s="25"/>
      <c r="G6" s="25"/>
      <c r="H6" s="29"/>
      <c r="I6" s="29"/>
    </row>
    <row r="7" hidden="1" outlineLevel="1">
      <c r="A7" s="1"/>
      <c r="B7" s="25"/>
      <c r="C7" s="25"/>
      <c r="D7" s="25"/>
      <c r="E7" s="25"/>
      <c r="F7" s="25"/>
      <c r="G7" s="25"/>
      <c r="H7" s="29"/>
      <c r="I7" s="29"/>
    </row>
    <row r="8" hidden="1" outlineLevel="1">
      <c r="A8" s="1"/>
      <c r="B8" s="25"/>
      <c r="C8" s="25"/>
      <c r="D8" s="25"/>
      <c r="E8" s="25"/>
      <c r="F8" s="25"/>
      <c r="G8" s="25"/>
      <c r="H8" s="29"/>
      <c r="I8" s="29"/>
    </row>
    <row r="9" hidden="1" outlineLevel="1">
      <c r="A9" s="1"/>
      <c r="B9" s="25"/>
      <c r="C9" s="25"/>
      <c r="D9" s="25"/>
      <c r="E9" s="25"/>
      <c r="F9" s="25"/>
      <c r="G9" s="25"/>
      <c r="H9" s="29"/>
      <c r="I9" s="29"/>
    </row>
    <row r="10" hidden="1" outlineLevel="1">
      <c r="A10" s="1"/>
      <c r="B10" s="25"/>
      <c r="C10" s="25"/>
      <c r="D10" s="25"/>
      <c r="E10" s="25"/>
      <c r="F10" s="25"/>
      <c r="G10" s="25"/>
      <c r="H10" s="29"/>
      <c r="I10" s="29"/>
    </row>
    <row r="11" hidden="1" outlineLevel="1"/>
    <row r="12" hidden="1" outlineLevel="1">
      <c r="A12" s="16" t="s">
        <v>39</v>
      </c>
    </row>
    <row r="13" hidden="1" outlineLevel="1">
      <c r="A13" s="1" t="str">
        <f t="array" ref="A13:G19">TRANSPOSE(A4:G10)</f>
        <v/>
      </c>
      <c r="B13" s="1" t="e">
        <v>#VALUE!</v>
      </c>
      <c r="C13" s="1"/>
      <c r="D13" s="1"/>
      <c r="E13" s="1"/>
      <c r="F13" s="1"/>
      <c r="G13" s="1"/>
    </row>
    <row r="14" hidden="1" outlineLevel="1">
      <c r="A14" s="1" t="s">
        <v>48</v>
      </c>
      <c r="B14" s="25"/>
      <c r="C14" s="25"/>
      <c r="D14" s="25"/>
      <c r="E14" s="25"/>
      <c r="F14" s="25"/>
      <c r="G14" s="25"/>
    </row>
    <row r="15" hidden="1" outlineLevel="1">
      <c r="A15" s="1" t="s">
        <v>15</v>
      </c>
      <c r="B15" s="25"/>
      <c r="C15" s="25"/>
      <c r="D15" s="25"/>
      <c r="E15" s="25"/>
      <c r="F15" s="25"/>
      <c r="G15" s="25"/>
    </row>
    <row r="16" hidden="1" outlineLevel="1">
      <c r="A16" s="1" t="s">
        <v>16</v>
      </c>
      <c r="B16" s="25"/>
      <c r="C16" s="25"/>
      <c r="D16" s="25"/>
      <c r="E16" s="25"/>
      <c r="F16" s="25"/>
      <c r="G16" s="25"/>
    </row>
    <row r="17" hidden="1" outlineLevel="1">
      <c r="A17" s="1" t="s">
        <v>17</v>
      </c>
      <c r="B17" s="25"/>
      <c r="C17" s="25"/>
      <c r="D17" s="25"/>
      <c r="E17" s="25"/>
      <c r="F17" s="25"/>
      <c r="G17" s="25"/>
    </row>
    <row r="18" hidden="1" outlineLevel="1">
      <c r="A18" s="1" t="s">
        <v>18</v>
      </c>
      <c r="B18" s="25"/>
      <c r="C18" s="25"/>
      <c r="D18" s="25"/>
      <c r="E18" s="25"/>
      <c r="F18" s="25"/>
      <c r="G18" s="25"/>
    </row>
    <row r="19" hidden="1" outlineLevel="1">
      <c r="A19" s="1" t="s">
        <v>19</v>
      </c>
      <c r="B19" s="25"/>
      <c r="C19" s="25"/>
      <c r="D19" s="25"/>
      <c r="E19" s="25"/>
      <c r="F19" s="25"/>
      <c r="G19" s="25"/>
    </row>
    <row r="21" collapsed="1">
      <c r="A21" s="14" t="s">
        <v>66</v>
      </c>
      <c r="B21" s="16" t="s">
        <v>24</v>
      </c>
      <c r="I21" s="16"/>
      <c r="J21" s="16"/>
    </row>
    <row r="22" hidden="1" outlineLevel="1">
      <c r="A22" s="39" t="s">
        <v>69</v>
      </c>
      <c r="C22" s="40"/>
      <c r="I22" s="16"/>
      <c r="J22" s="16"/>
    </row>
    <row r="23" hidden="1" outlineLevel="1">
      <c r="C23" s="41" t="s">
        <v>71</v>
      </c>
      <c r="D23" s="42" t="s">
        <v>72</v>
      </c>
      <c r="E23" s="43" t="s">
        <v>73</v>
      </c>
      <c r="F23" s="44" t="s">
        <v>77</v>
      </c>
      <c r="H23" s="12" t="s">
        <v>78</v>
      </c>
      <c r="I23" s="8" t="s">
        <v>80</v>
      </c>
      <c r="J23" s="8" t="s">
        <v>81</v>
      </c>
    </row>
    <row r="24" hidden="1" outlineLevel="1">
      <c r="A24" s="45" t="s">
        <v>82</v>
      </c>
      <c r="B24" s="46" t="s">
        <v>93</v>
      </c>
      <c r="C24" s="41"/>
      <c r="D24" s="48" t="str">
        <f>IFERROR(__xludf.DUMMYFUNCTION("QUERY($A$14:$G$19, CONCATENATE(""Select Col1 where Col"",match(B24,$A$4:$A$10,0),""&gt;3 and not  Col1 contains '"",$B$76,""'""),0)"),"#N/A")</f>
        <v>#N/A</v>
      </c>
      <c r="E24" s="49" t="str">
        <f>IFERROR(__xludf.DUMMYFUNCTION("QUERY($A$14:$G$19, CONCATENATE(""Select Col1 where Col"",match(B24,$A$4:$A$10,0),""=3 and not  Col1 contains '"",$B$76,""'""),0)"),"#N/A")</f>
        <v>#N/A</v>
      </c>
      <c r="F24" s="50" t="str">
        <f>IFERROR(__xludf.DUMMYFUNCTION("QUERY($A$14:$G$19, CONCATENATE(""Select Col1 where Col"",match(B24,$A$4:$A$10,0),""&lt;3 and not  Col1 contains '"",$B$76,""'""),0)"),"#N/A")</f>
        <v>#N/A</v>
      </c>
      <c r="H24" s="10" t="str">
        <f>IFERROR(__xludf.DUMMYFUNCTION("QUERY(A5:A10)"),"#VALUE!")</f>
        <v>#VALUE!</v>
      </c>
      <c r="I24" s="10" t="str">
        <f>IFERROR(__xludf.DUMMYFUNCTION("filter(H34:H39,H34:H39&lt;&gt;B34)"),"Dark Angel Gladius (Pharn Jonathan)")</f>
        <v>Dark Angel Gladius (Pharn Jonathan)</v>
      </c>
      <c r="J24" s="10" t="str">
        <f>IFERROR(__xludf.DUMMYFUNCTION("filter(H34:H39,H34:H39&lt;&gt;B34,H34:H39&lt;&gt;B25)"),"Dark Angel Gladius (Pharn Jonathan)")</f>
        <v>Dark Angel Gladius (Pharn Jonathan)</v>
      </c>
    </row>
    <row r="25" hidden="1" outlineLevel="1">
      <c r="A25" s="51" t="s">
        <v>104</v>
      </c>
      <c r="B25" s="52" t="s">
        <v>93</v>
      </c>
      <c r="C25" s="53" t="s">
        <v>3</v>
      </c>
      <c r="D25" s="48"/>
      <c r="E25" s="49"/>
      <c r="F25" s="50"/>
      <c r="H25" s="10"/>
      <c r="I25" s="10" t="str">
        <f>IFERROR(__xludf.DUMMYFUNCTION("""COMPUTED_VALUE"""),"Necrons (AtadiloTho Jérome)")</f>
        <v>Necrons (AtadiloTho Jérome)</v>
      </c>
      <c r="J25" s="10" t="str">
        <f>IFERROR(__xludf.DUMMYFUNCTION("""COMPUTED_VALUE"""),"Necrons (AtadiloTho Jérome)")</f>
        <v>Necrons (AtadiloTho Jérome)</v>
      </c>
    </row>
    <row r="26" hidden="1" outlineLevel="1">
      <c r="A26" s="51" t="s">
        <v>105</v>
      </c>
      <c r="B26" s="52" t="s">
        <v>93</v>
      </c>
      <c r="C26" s="53" t="s">
        <v>3</v>
      </c>
      <c r="D26" s="48"/>
      <c r="E26" s="49"/>
      <c r="F26" s="50"/>
      <c r="H26" s="10"/>
      <c r="I26" s="10" t="str">
        <f>IFERROR(__xludf.DUMMYFUNCTION("""COMPUTED_VALUE"""),"Tousand sons (Xeroxjager Antoine)")</f>
        <v>Tousand sons (Xeroxjager Antoine)</v>
      </c>
      <c r="J26" s="10" t="str">
        <f>IFERROR(__xludf.DUMMYFUNCTION("""COMPUTED_VALUE"""),"Tousand sons (Xeroxjager Antoine)")</f>
        <v>Tousand sons (Xeroxjager Antoine)</v>
      </c>
    </row>
    <row r="27" hidden="1" outlineLevel="1">
      <c r="A27" s="1"/>
      <c r="B27" s="1"/>
      <c r="C27" s="1"/>
      <c r="D27" s="48"/>
      <c r="E27" s="49"/>
      <c r="F27" s="50"/>
      <c r="H27" s="10"/>
      <c r="I27" s="10" t="str">
        <f>IFERROR(__xludf.DUMMYFUNCTION("""COMPUTED_VALUE"""),"Tyranides (El_MoZo Morgan)")</f>
        <v>Tyranides (El_MoZo Morgan)</v>
      </c>
      <c r="J27" s="10" t="str">
        <f>IFERROR(__xludf.DUMMYFUNCTION("""COMPUTED_VALUE"""),"Tyranides (El_MoZo Morgan)")</f>
        <v>Tyranides (El_MoZo Morgan)</v>
      </c>
    </row>
    <row r="28" hidden="1" outlineLevel="1">
      <c r="A28" s="1"/>
      <c r="B28" s="1"/>
      <c r="C28" s="1"/>
      <c r="D28" s="48"/>
      <c r="E28" s="49"/>
      <c r="F28" s="50"/>
      <c r="H28" s="10"/>
      <c r="I28" s="10" t="str">
        <f>IFERROR(__xludf.DUMMYFUNCTION("""COMPUTED_VALUE"""),"Astra Militarum (Punkachien Marc)")</f>
        <v>Astra Militarum (Punkachien Marc)</v>
      </c>
      <c r="J28" s="10" t="str">
        <f>IFERROR(__xludf.DUMMYFUNCTION("""COMPUTED_VALUE"""),"Astra Militarum (Punkachien Marc)")</f>
        <v>Astra Militarum (Punkachien Marc)</v>
      </c>
    </row>
    <row r="29" hidden="1" outlineLevel="1">
      <c r="H29" s="10"/>
      <c r="I29" s="10" t="str">
        <f>IFERROR(__xludf.DUMMYFUNCTION("""COMPUTED_VALUE"""),"T au (DoubleRation David)")</f>
        <v>T au (DoubleRation David)</v>
      </c>
      <c r="J29" s="10" t="str">
        <f>IFERROR(__xludf.DUMMYFUNCTION("""COMPUTED_VALUE"""),"T au (DoubleRation David)")</f>
        <v>T au (DoubleRation David)</v>
      </c>
    </row>
    <row r="30" hidden="1" outlineLevel="1">
      <c r="H30" s="16" t="s">
        <v>93</v>
      </c>
      <c r="I30" s="16" t="s">
        <v>93</v>
      </c>
      <c r="J30" s="16" t="s">
        <v>93</v>
      </c>
    </row>
    <row r="31" hidden="1" outlineLevel="1"/>
    <row r="32" hidden="1" outlineLevel="1">
      <c r="A32" s="39" t="s">
        <v>108</v>
      </c>
      <c r="C32" s="40"/>
      <c r="I32" s="16"/>
      <c r="J32" s="16"/>
    </row>
    <row r="33" hidden="1" outlineLevel="1">
      <c r="C33" s="41" t="s">
        <v>71</v>
      </c>
      <c r="D33" s="54" t="s">
        <v>72</v>
      </c>
      <c r="E33" s="55" t="s">
        <v>73</v>
      </c>
      <c r="F33" s="56" t="s">
        <v>77</v>
      </c>
      <c r="H33" s="8" t="s">
        <v>109</v>
      </c>
      <c r="I33" s="12" t="s">
        <v>110</v>
      </c>
      <c r="J33" s="12" t="s">
        <v>111</v>
      </c>
    </row>
    <row r="34" hidden="1" outlineLevel="1">
      <c r="A34" s="57" t="s">
        <v>112</v>
      </c>
      <c r="B34" s="8" t="s">
        <v>93</v>
      </c>
      <c r="C34" s="41"/>
      <c r="D34" s="48" t="str">
        <f>IFERROR(__xludf.DUMMYFUNCTION("QUERY($A$5:$G$10, CONCATENATE(""Select Col1 where Col"",match(B34,$A$13:$A$19,0),""&gt;3 and not  Col1 contains '"",$B$73,""'""),0)"),"#N/A")</f>
        <v>#N/A</v>
      </c>
      <c r="E34" s="49" t="str">
        <f>IFERROR(__xludf.DUMMYFUNCTION("QUERY($A$5:$G$10, CONCATENATE(""Select Col1 where Col"",match(B34,$A$13:$A$19,0),""=3 and not  Col1 contains '"",$B$73,""'""),0)"),"#N/A")</f>
        <v>#N/A</v>
      </c>
      <c r="F34" s="50" t="str">
        <f>IFERROR(__xludf.DUMMYFUNCTION("QUERY($A$5:$G$10, CONCATENATE(""Select Col1 where Col"",match(B34,$A$13:$A$19,0),""&lt;3 and not  Col1 contains '"",$B$73,""'""),0)"),"#N/A")</f>
        <v>#N/A</v>
      </c>
      <c r="H34" s="10" t="str">
        <f>IFERROR(__xludf.DUMMYFUNCTION("QUERY(A14:A19)"),"Dark Angel Gladius (Pharn Jonathan)")</f>
        <v>Dark Angel Gladius (Pharn Jonathan)</v>
      </c>
      <c r="I34" s="10" t="str">
        <f>IFERROR(__xludf.DUMMYFUNCTION("filter(H24:H29,H24:H29&lt;&gt;B24)"),"#VALUE!")</f>
        <v>#VALUE!</v>
      </c>
      <c r="J34" s="10" t="str">
        <f>IFERROR(__xludf.DUMMYFUNCTION("filter(H24:H29,H24:H29&lt;&gt;B24,H24:H29&lt;&gt;B35)"),"#VALUE!")</f>
        <v>#VALUE!</v>
      </c>
    </row>
    <row r="35" hidden="1" outlineLevel="1">
      <c r="A35" s="58" t="s">
        <v>113</v>
      </c>
      <c r="B35" s="12" t="s">
        <v>93</v>
      </c>
      <c r="C35" s="53" t="s">
        <v>3</v>
      </c>
      <c r="D35" s="48"/>
      <c r="E35" s="49"/>
      <c r="F35" s="50"/>
      <c r="H35" s="10" t="str">
        <f>IFERROR(__xludf.DUMMYFUNCTION("""COMPUTED_VALUE"""),"Necrons (AtadiloTho Jérome)")</f>
        <v>Necrons (AtadiloTho Jérome)</v>
      </c>
      <c r="I35" s="10"/>
      <c r="J35" s="10"/>
    </row>
    <row r="36" hidden="1" outlineLevel="1">
      <c r="A36" s="58" t="s">
        <v>114</v>
      </c>
      <c r="B36" s="12" t="s">
        <v>93</v>
      </c>
      <c r="C36" s="53" t="s">
        <v>3</v>
      </c>
      <c r="D36" s="48"/>
      <c r="E36" s="49"/>
      <c r="F36" s="50"/>
      <c r="H36" s="10" t="str">
        <f>IFERROR(__xludf.DUMMYFUNCTION("""COMPUTED_VALUE"""),"Tousand sons (Xeroxjager Antoine)")</f>
        <v>Tousand sons (Xeroxjager Antoine)</v>
      </c>
      <c r="I36" s="10"/>
      <c r="J36" s="10"/>
    </row>
    <row r="37" hidden="1" outlineLevel="1">
      <c r="A37" s="1"/>
      <c r="B37" s="1"/>
      <c r="C37" s="1"/>
      <c r="D37" s="48"/>
      <c r="E37" s="49"/>
      <c r="F37" s="50"/>
      <c r="H37" s="10" t="str">
        <f>IFERROR(__xludf.DUMMYFUNCTION("""COMPUTED_VALUE"""),"Tyranides (El_MoZo Morgan)")</f>
        <v>Tyranides (El_MoZo Morgan)</v>
      </c>
      <c r="I37" s="10"/>
      <c r="J37" s="10"/>
    </row>
    <row r="38" hidden="1" outlineLevel="1">
      <c r="A38" s="1"/>
      <c r="B38" s="1"/>
      <c r="C38" s="1"/>
      <c r="D38" s="48"/>
      <c r="E38" s="49"/>
      <c r="F38" s="50"/>
      <c r="H38" s="10" t="str">
        <f>IFERROR(__xludf.DUMMYFUNCTION("""COMPUTED_VALUE"""),"Astra Militarum (Punkachien Marc)")</f>
        <v>Astra Militarum (Punkachien Marc)</v>
      </c>
      <c r="I38" s="10"/>
      <c r="J38" s="10"/>
    </row>
    <row r="39" hidden="1" outlineLevel="1">
      <c r="H39" s="10" t="str">
        <f>IFERROR(__xludf.DUMMYFUNCTION("""COMPUTED_VALUE"""),"T au (DoubleRation David)")</f>
        <v>T au (DoubleRation David)</v>
      </c>
      <c r="I39" s="10"/>
      <c r="J39" s="10"/>
    </row>
    <row r="40" hidden="1" outlineLevel="1">
      <c r="H40" s="16" t="s">
        <v>93</v>
      </c>
      <c r="I40" s="16" t="s">
        <v>93</v>
      </c>
      <c r="J40" s="16" t="s">
        <v>93</v>
      </c>
    </row>
    <row r="42" collapsed="1">
      <c r="A42" s="14" t="s">
        <v>115</v>
      </c>
      <c r="B42" s="16" t="s">
        <v>24</v>
      </c>
    </row>
    <row r="43" hidden="1" outlineLevel="1">
      <c r="A43" s="39" t="s">
        <v>69</v>
      </c>
      <c r="C43" s="40"/>
      <c r="I43" s="16"/>
      <c r="J43" s="16"/>
    </row>
    <row r="44" hidden="1" outlineLevel="1">
      <c r="C44" s="41" t="s">
        <v>71</v>
      </c>
      <c r="D44" s="42" t="s">
        <v>72</v>
      </c>
      <c r="E44" s="43" t="s">
        <v>73</v>
      </c>
      <c r="F44" s="44" t="s">
        <v>77</v>
      </c>
      <c r="H44" s="12" t="s">
        <v>78</v>
      </c>
      <c r="I44" s="8" t="s">
        <v>80</v>
      </c>
      <c r="J44" s="8" t="s">
        <v>81</v>
      </c>
    </row>
    <row r="45" hidden="1" outlineLevel="1">
      <c r="A45" s="45" t="s">
        <v>82</v>
      </c>
      <c r="B45" s="46" t="s">
        <v>93</v>
      </c>
      <c r="C45" s="41"/>
      <c r="D45" s="48" t="str">
        <f>IFERROR(__xludf.DUMMYFUNCTION("QUERY($A$14:$G$19, CONCATENATE(""Select Col1 where Col"",match(B45,$A$4:$A$10,0),""&gt;3 and not  Col1 contains '"",$B$76,""' and not  Col1 contains '"",$B$74,""' and not  Col1 contains '"",$B$82,""'""),0)"),"#N/A")</f>
        <v>#N/A</v>
      </c>
      <c r="E45" s="49" t="str">
        <f>IFERROR(__xludf.DUMMYFUNCTION("QUERY($A$14:$G$19, CONCATENATE(""Select Col1 where Col"",match(B45,$A$4:$A$10,0),""=3 and not  Col1 contains '"",$B$76,""' and not  Col1 contains '"",$B$74,""' and not  Col1 contains '"",$B$82,""'""),0)"),"#N/A")</f>
        <v>#N/A</v>
      </c>
      <c r="F45" s="50" t="str">
        <f>IFERROR(__xludf.DUMMYFUNCTION("QUERY($A$14:$G$19, CONCATENATE(""Select Col1 where Col"",match(B45,$A$4:$A$10,0),""&lt;3 and not  Col1 contains '"",$B$76,""' and not  Col1 contains '"",$B$74,""' and not  Col1 contains '"",$B$82,""'""),0)"),"#N/A")</f>
        <v>#N/A</v>
      </c>
      <c r="H45" s="10" t="str">
        <f>IFERROR(__xludf.DUMMYFUNCTION("filter(H24:H29,H24:H29&lt;&gt;B73,H24:H29&lt;&gt;B77)"),"#N/A")</f>
        <v>#N/A</v>
      </c>
      <c r="I45" s="10" t="str">
        <f>IFERROR(__xludf.DUMMYFUNCTION("filter(H55:H59,H55:H59&lt;&gt;B55)"),"")</f>
        <v/>
      </c>
      <c r="J45" s="10" t="str">
        <f>IFERROR(__xludf.DUMMYFUNCTION("filter(H55:H59,H55:H59&lt;&gt;B55,H55:H59&lt;&gt;B46)"),"")</f>
        <v/>
      </c>
    </row>
    <row r="46" hidden="1" outlineLevel="1">
      <c r="A46" s="51" t="s">
        <v>104</v>
      </c>
      <c r="B46" s="52" t="s">
        <v>93</v>
      </c>
      <c r="C46" s="53" t="s">
        <v>3</v>
      </c>
      <c r="D46" s="48"/>
      <c r="E46" s="49"/>
      <c r="F46" s="50"/>
      <c r="I46" s="10"/>
      <c r="J46" s="10"/>
    </row>
    <row r="47" hidden="1" outlineLevel="1">
      <c r="A47" s="51" t="s">
        <v>105</v>
      </c>
      <c r="B47" s="52" t="s">
        <v>93</v>
      </c>
      <c r="C47" s="53" t="s">
        <v>3</v>
      </c>
      <c r="D47" s="48"/>
      <c r="E47" s="49"/>
      <c r="F47" s="50"/>
      <c r="I47" s="10"/>
      <c r="J47" s="10"/>
    </row>
    <row r="48" hidden="1" outlineLevel="1">
      <c r="A48" s="1"/>
      <c r="B48" s="1"/>
      <c r="C48" s="1"/>
      <c r="D48" s="48"/>
      <c r="E48" s="49"/>
      <c r="F48" s="50"/>
      <c r="I48" s="10"/>
      <c r="J48" s="10"/>
    </row>
    <row r="49" hidden="1" outlineLevel="1">
      <c r="A49" s="1"/>
      <c r="B49" s="1"/>
      <c r="C49" s="1"/>
      <c r="D49" s="48"/>
      <c r="E49" s="49"/>
      <c r="F49" s="50"/>
    </row>
    <row r="50" hidden="1" outlineLevel="1">
      <c r="H50" s="16" t="s">
        <v>93</v>
      </c>
      <c r="I50" s="16" t="s">
        <v>93</v>
      </c>
      <c r="J50" s="16" t="s">
        <v>93</v>
      </c>
    </row>
    <row r="51" hidden="1" outlineLevel="1"/>
    <row r="52" hidden="1" outlineLevel="1"/>
    <row r="53" hidden="1" outlineLevel="1">
      <c r="A53" s="39" t="s">
        <v>108</v>
      </c>
      <c r="C53" s="40"/>
      <c r="I53" s="16"/>
      <c r="J53" s="16"/>
    </row>
    <row r="54" hidden="1" outlineLevel="1">
      <c r="C54" s="41" t="s">
        <v>71</v>
      </c>
      <c r="D54" s="54" t="s">
        <v>72</v>
      </c>
      <c r="E54" s="55" t="s">
        <v>73</v>
      </c>
      <c r="F54" s="56" t="s">
        <v>77</v>
      </c>
      <c r="H54" s="8" t="s">
        <v>109</v>
      </c>
      <c r="I54" s="12" t="s">
        <v>110</v>
      </c>
      <c r="J54" s="12" t="s">
        <v>111</v>
      </c>
    </row>
    <row r="55" hidden="1" outlineLevel="1">
      <c r="A55" s="51" t="s">
        <v>112</v>
      </c>
      <c r="B55" s="52" t="s">
        <v>93</v>
      </c>
      <c r="C55" s="41"/>
      <c r="D55" s="48" t="str">
        <f>IFERROR(__xludf.DUMMYFUNCTION("QUERY($A$5:$G$10, CONCATENATE(""Select Col1 where Col"",match(B55,$A$13:$A$19,0),""&gt;3 and not  Col1 contains '"",$B$73,""' and not  Col1 contains '"",$B$77,""' and not  Col1 contains '"",$B$79,""'""),0)"),"#N/A")</f>
        <v>#N/A</v>
      </c>
      <c r="E55" s="49" t="str">
        <f>IFERROR(__xludf.DUMMYFUNCTION("QUERY($A$5:$G$10, CONCATENATE(""Select Col1 where Col"",match(B55,$A$13:$A$19,0),""=3 and not  Col1 contains '"",$B$73,""' and not  Col1 contains '"",$B$77,""' and not  Col1 contains '"",$B$79,""'""),0)"),"#N/A")</f>
        <v>#N/A</v>
      </c>
      <c r="F55" s="50" t="str">
        <f>IFERROR(__xludf.DUMMYFUNCTION("QUERY($A$5:$G$10, CONCATENATE(""Select Col1 where Col"",match(B55,$A$13:$A$19,0),""&lt;3 and not  Col1 contains '"",$B$73,""' and not  Col1 contains '"",$B$77,""' and not  Col1 contains '"",$B$79,""'""),0)"),"#N/A")</f>
        <v>#N/A</v>
      </c>
      <c r="H55" s="10" t="str">
        <f>IFERROR(__xludf.DUMMYFUNCTION("filter(H34:H39,H34:H39&lt;&gt;B74,H34:H39&lt;&gt;B76)"),"#N/A")</f>
        <v>#N/A</v>
      </c>
      <c r="I55" s="10" t="str">
        <f>IFERROR(__xludf.DUMMYFUNCTION("filter(H45:H49,H45:H49&lt;&gt;B45)"),"")</f>
        <v/>
      </c>
      <c r="J55" s="10" t="str">
        <f>IFERROR(__xludf.DUMMYFUNCTION("filter(H45:H49,H45:H49&lt;&gt;B45,H45:H49&lt;&gt;B46)"),"")</f>
        <v/>
      </c>
    </row>
    <row r="56" hidden="1" outlineLevel="1">
      <c r="A56" s="45" t="s">
        <v>114</v>
      </c>
      <c r="B56" s="46" t="s">
        <v>93</v>
      </c>
      <c r="C56" s="53" t="s">
        <v>3</v>
      </c>
      <c r="D56" s="48"/>
      <c r="E56" s="49"/>
      <c r="F56" s="50"/>
      <c r="I56" s="10"/>
      <c r="J56" s="10"/>
    </row>
    <row r="57" hidden="1" outlineLevel="1">
      <c r="A57" s="45" t="s">
        <v>114</v>
      </c>
      <c r="B57" s="46" t="s">
        <v>93</v>
      </c>
      <c r="C57" s="53" t="s">
        <v>3</v>
      </c>
      <c r="D57" s="48"/>
      <c r="E57" s="49"/>
      <c r="F57" s="50"/>
      <c r="I57" s="10"/>
      <c r="J57" s="10"/>
    </row>
    <row r="58" hidden="1" outlineLevel="1">
      <c r="A58" s="1"/>
      <c r="B58" s="1"/>
      <c r="C58" s="1"/>
      <c r="D58" s="48"/>
      <c r="E58" s="49"/>
      <c r="F58" s="50"/>
      <c r="I58" s="10"/>
      <c r="J58" s="10"/>
    </row>
    <row r="59" hidden="1" outlineLevel="1">
      <c r="A59" s="1"/>
      <c r="B59" s="1"/>
      <c r="C59" s="1"/>
      <c r="D59" s="48"/>
      <c r="E59" s="49"/>
      <c r="F59" s="50"/>
    </row>
    <row r="60" hidden="1" outlineLevel="1">
      <c r="H60" s="16" t="s">
        <v>93</v>
      </c>
      <c r="I60" s="16" t="s">
        <v>93</v>
      </c>
      <c r="J60" s="16" t="s">
        <v>93</v>
      </c>
    </row>
    <row r="61" hidden="1" outlineLevel="1"/>
    <row r="62" hidden="1" outlineLevel="1"/>
    <row r="63" hidden="1" outlineLevel="1">
      <c r="A63" s="39" t="s">
        <v>116</v>
      </c>
    </row>
    <row r="64" hidden="1" outlineLevel="1"/>
    <row r="65" hidden="1" outlineLevel="1"/>
    <row r="68">
      <c r="A68" s="14" t="s">
        <v>117</v>
      </c>
    </row>
    <row r="70">
      <c r="A70" s="59" t="s">
        <v>118</v>
      </c>
      <c r="B70" s="16" t="s">
        <v>8</v>
      </c>
    </row>
    <row r="72">
      <c r="C72" s="60" t="s">
        <v>119</v>
      </c>
      <c r="D72" s="41" t="s">
        <v>120</v>
      </c>
      <c r="E72" s="41" t="s">
        <v>121</v>
      </c>
      <c r="F72" s="41" t="s">
        <v>122</v>
      </c>
    </row>
    <row r="73">
      <c r="A73" s="61" t="s">
        <v>123</v>
      </c>
      <c r="B73" s="46" t="str">
        <f>B24</f>
        <v> 🚧 Rien de selectionné 🚧</v>
      </c>
      <c r="C73" s="53" t="s">
        <v>3</v>
      </c>
      <c r="D73" s="62"/>
      <c r="E73" s="62"/>
      <c r="F73" s="63">
        <f>IF(D73&gt;D74,2,if(D73&lt;D74,0,1))</f>
        <v>1</v>
      </c>
    </row>
    <row r="74">
      <c r="A74" s="31"/>
      <c r="B74" s="52" t="str">
        <f>IFERROR(__xludf.DUMMYFUNCTION("FILTER(B25:B26,C25:C26=""Oui"")"),"#N/A")</f>
        <v>#N/A</v>
      </c>
      <c r="C74" s="53" t="s">
        <v>3</v>
      </c>
      <c r="D74" s="62"/>
      <c r="E74" s="62"/>
      <c r="F74" s="64">
        <f>2-F73</f>
        <v>1</v>
      </c>
    </row>
    <row r="75">
      <c r="A75" s="65" t="s">
        <v>124</v>
      </c>
      <c r="B75" s="53" t="s">
        <v>125</v>
      </c>
      <c r="F75" s="29"/>
    </row>
    <row r="76">
      <c r="A76" s="61" t="s">
        <v>123</v>
      </c>
      <c r="B76" s="52" t="str">
        <f>B34</f>
        <v> 🚧 Rien de selectionné 🚧</v>
      </c>
      <c r="C76" s="53" t="s">
        <v>3</v>
      </c>
      <c r="D76" s="62"/>
      <c r="E76" s="62"/>
      <c r="F76" s="64">
        <f>IF(D76&gt;D77,2,if(D76&lt;D77,0,1))</f>
        <v>1</v>
      </c>
    </row>
    <row r="77">
      <c r="A77" s="31"/>
      <c r="B77" s="46" t="str">
        <f>IFERROR(__xludf.DUMMYFUNCTION("FILTER(B35:B36,C35:C36=""Oui"")"),"#N/A")</f>
        <v>#N/A</v>
      </c>
      <c r="C77" s="53" t="s">
        <v>3</v>
      </c>
      <c r="D77" s="62"/>
      <c r="E77" s="62"/>
      <c r="F77" s="63">
        <f>2-F76</f>
        <v>1</v>
      </c>
    </row>
    <row r="78">
      <c r="A78" s="65" t="s">
        <v>124</v>
      </c>
      <c r="B78" s="53" t="s">
        <v>125</v>
      </c>
      <c r="F78" s="29"/>
    </row>
    <row r="79">
      <c r="A79" s="61" t="s">
        <v>123</v>
      </c>
      <c r="B79" s="46" t="str">
        <f>B45</f>
        <v> 🚧 Rien de selectionné 🚧</v>
      </c>
      <c r="C79" s="53" t="s">
        <v>3</v>
      </c>
      <c r="D79" s="62"/>
      <c r="E79" s="62"/>
      <c r="F79" s="63">
        <f>IF(D79&gt;D80,2,if(D79&lt;D80,0,1))</f>
        <v>1</v>
      </c>
    </row>
    <row r="80">
      <c r="A80" s="31"/>
      <c r="B80" s="52" t="str">
        <f>IFERROR(__xludf.DUMMYFUNCTION("FILTER(B46:B47,C46:C47=""Oui"")"),"#N/A")</f>
        <v>#N/A</v>
      </c>
      <c r="C80" s="53" t="s">
        <v>3</v>
      </c>
      <c r="D80" s="62"/>
      <c r="E80" s="62"/>
      <c r="F80" s="64">
        <f>2-F79</f>
        <v>1</v>
      </c>
    </row>
    <row r="81">
      <c r="A81" s="65" t="s">
        <v>124</v>
      </c>
      <c r="B81" s="53" t="s">
        <v>125</v>
      </c>
      <c r="F81" s="29"/>
    </row>
    <row r="82">
      <c r="A82" s="61" t="s">
        <v>123</v>
      </c>
      <c r="B82" s="52" t="str">
        <f>B55</f>
        <v> 🚧 Rien de selectionné 🚧</v>
      </c>
      <c r="C82" s="53" t="s">
        <v>3</v>
      </c>
      <c r="D82" s="62"/>
      <c r="E82" s="62"/>
      <c r="F82" s="64">
        <f>IF(D82&gt;D83,2,if(D82&lt;D83,0,1))</f>
        <v>1</v>
      </c>
    </row>
    <row r="83">
      <c r="A83" s="31"/>
      <c r="B83" s="46" t="str">
        <f>IFERROR(__xludf.DUMMYFUNCTION("FILTER(B56:B57,C56:C57=""Oui"")"),"#N/A")</f>
        <v>#N/A</v>
      </c>
      <c r="C83" s="53" t="s">
        <v>3</v>
      </c>
      <c r="D83" s="62"/>
      <c r="E83" s="62"/>
      <c r="F83" s="63">
        <f>2-F82</f>
        <v>1</v>
      </c>
    </row>
    <row r="84">
      <c r="A84" s="65" t="s">
        <v>124</v>
      </c>
      <c r="B84" s="53" t="s">
        <v>125</v>
      </c>
      <c r="F84" s="29"/>
    </row>
    <row r="85">
      <c r="A85" s="14" t="s">
        <v>126</v>
      </c>
      <c r="F85" s="29"/>
    </row>
    <row r="86">
      <c r="A86" s="61" t="s">
        <v>123</v>
      </c>
      <c r="B86" s="46" t="str">
        <f>IFERROR(__xludf.DUMMYFUNCTION("FILTER(B56:B57,C56:C57=""Non"")"),"#N/A")</f>
        <v>#N/A</v>
      </c>
      <c r="C86" s="53" t="s">
        <v>3</v>
      </c>
      <c r="D86" s="62"/>
      <c r="E86" s="62"/>
      <c r="F86" s="63">
        <f>IF(D86&gt;D87,2,if(D86&lt;D87,0,1))</f>
        <v>1</v>
      </c>
    </row>
    <row r="87">
      <c r="A87" s="31"/>
      <c r="B87" s="52" t="str">
        <f>IFERROR(__xludf.DUMMYFUNCTION("FILTER(B46:B47,C46:C47=""Non"")"),"#N/A")</f>
        <v>#N/A</v>
      </c>
      <c r="C87" s="53" t="s">
        <v>3</v>
      </c>
      <c r="D87" s="62"/>
      <c r="E87" s="62"/>
      <c r="F87" s="64">
        <f>2-F86</f>
        <v>1</v>
      </c>
    </row>
    <row r="88">
      <c r="A88" s="65" t="s">
        <v>124</v>
      </c>
      <c r="B88" s="53" t="s">
        <v>125</v>
      </c>
      <c r="F88" s="29"/>
    </row>
    <row r="89">
      <c r="A89" s="14" t="s">
        <v>127</v>
      </c>
      <c r="F89" s="29"/>
    </row>
    <row r="90">
      <c r="A90" s="61" t="s">
        <v>123</v>
      </c>
      <c r="B90" s="46" t="str">
        <f>IFERROR(__xludf.DUMMYFUNCTION("filter(H45:H48,H45:H48&lt;&gt;B79,H45:H48&lt;&gt;B83,H45:H48&lt;&gt;B86)"),"#N/A")</f>
        <v>#N/A</v>
      </c>
      <c r="C90" s="53" t="s">
        <v>3</v>
      </c>
      <c r="D90" s="62"/>
      <c r="E90" s="62"/>
      <c r="F90" s="63">
        <f>IF(D90&gt;D91,2,if(D90&lt;D91,0,1))</f>
        <v>1</v>
      </c>
    </row>
    <row r="91">
      <c r="A91" s="31"/>
      <c r="B91" s="52" t="str">
        <f>IFERROR(__xludf.DUMMYFUNCTION("FILTER(H55:H58,H55:H58&lt;&gt;B80,H55:H58&lt;&gt;B82,H55:H58&lt;&gt;B87)"),"#N/A")</f>
        <v>#N/A</v>
      </c>
      <c r="C91" s="53" t="s">
        <v>3</v>
      </c>
      <c r="D91" s="62"/>
      <c r="E91" s="62"/>
      <c r="F91" s="64">
        <f>2-F90</f>
        <v>1</v>
      </c>
    </row>
    <row r="92">
      <c r="A92" s="65" t="s">
        <v>124</v>
      </c>
      <c r="B92" s="53" t="s">
        <v>125</v>
      </c>
    </row>
    <row r="94">
      <c r="B94" s="66" t="s">
        <v>8</v>
      </c>
      <c r="C94" s="67"/>
      <c r="D94" s="68">
        <f t="shared" ref="D94:F94" si="1">D74+D76+D80+D82+D87+D91</f>
        <v>0</v>
      </c>
      <c r="E94" s="68">
        <f t="shared" si="1"/>
        <v>0</v>
      </c>
      <c r="F94" s="68">
        <f t="shared" si="1"/>
        <v>6</v>
      </c>
    </row>
    <row r="95">
      <c r="B95" s="69" t="s">
        <v>35</v>
      </c>
      <c r="C95" s="67"/>
      <c r="D95" s="70">
        <f t="shared" ref="D95:F95" si="2">D73+D77+D79+D83+D86+D90</f>
        <v>0</v>
      </c>
      <c r="E95" s="70">
        <f t="shared" si="2"/>
        <v>0</v>
      </c>
      <c r="F95" s="70">
        <f t="shared" si="2"/>
        <v>6</v>
      </c>
    </row>
  </sheetData>
  <mergeCells count="6">
    <mergeCell ref="A73:A74"/>
    <mergeCell ref="A76:A77"/>
    <mergeCell ref="A79:A80"/>
    <mergeCell ref="A82:A83"/>
    <mergeCell ref="A86:A87"/>
    <mergeCell ref="A90:A91"/>
  </mergeCells>
  <conditionalFormatting sqref="B5:I10 B14:G19">
    <cfRule type="colorScale" priority="1">
      <colorScale>
        <cfvo type="min"/>
        <cfvo type="formula" val="3"/>
        <cfvo type="max"/>
        <color rgb="FFFF0000"/>
        <color rgb="FFFFFF00"/>
        <color rgb="FF57BB8A"/>
      </colorScale>
    </cfRule>
  </conditionalFormatting>
  <dataValidations>
    <dataValidation type="list" allowBlank="1" showErrorMessage="1" sqref="B47">
      <formula1>'Template Ronde x'!$J$45:$J$50</formula1>
    </dataValidation>
    <dataValidation type="list" allowBlank="1" showErrorMessage="1" sqref="B1">
      <formula1>" 🚧,1,2,3,4,5"</formula1>
    </dataValidation>
    <dataValidation type="list" allowBlank="1" showErrorMessage="1" sqref="B34">
      <formula1>'Template Ronde x'!$H$34:$H$40</formula1>
    </dataValidation>
    <dataValidation type="list" allowBlank="1" showErrorMessage="1" sqref="B57">
      <formula1>'Template Ronde x'!$J$55:$J$60</formula1>
    </dataValidation>
    <dataValidation type="list" allowBlank="1" showErrorMessage="1" sqref="B70">
      <formula1>'Template Ronde x'!$D$1:$D$2</formula1>
    </dataValidation>
    <dataValidation type="list" allowBlank="1" showErrorMessage="1" sqref="B25">
      <formula1>$I$24:$I$30</formula1>
    </dataValidation>
    <dataValidation type="list" allowBlank="1" showErrorMessage="1" sqref="B46">
      <formula1>'Template Ronde x'!$I$45:$I$50</formula1>
    </dataValidation>
    <dataValidation type="list" allowBlank="1" showErrorMessage="1" sqref="B45">
      <formula1>$H$45:$H$50</formula1>
    </dataValidation>
    <dataValidation type="list" allowBlank="1" showErrorMessage="1" sqref="B75 B78 B81 B84 B88 B92">
      <formula1>"🚧,Layout 1,Layout 2,Layout 3,Layout 4,Layout 5,Layout 6"</formula1>
    </dataValidation>
    <dataValidation type="list" allowBlank="1" showErrorMessage="1" sqref="B36">
      <formula1>$J$34:$J$40</formula1>
    </dataValidation>
    <dataValidation type="list" allowBlank="1" showErrorMessage="1" sqref="B56">
      <formula1>'Template Ronde x'!$I$55:$I$60</formula1>
    </dataValidation>
    <dataValidation type="list" allowBlank="1" showErrorMessage="1" sqref="B55">
      <formula1>'Template Ronde x'!$H$55:$H$60</formula1>
    </dataValidation>
    <dataValidation type="list" allowBlank="1" showErrorMessage="1" sqref="B35">
      <formula1>$I$34:$I$40</formula1>
    </dataValidation>
    <dataValidation type="list" allowBlank="1" showErrorMessage="1" sqref="C25:C26 C35:C36 C46:C47 C56:C57 C73:C74 C76:C77 C79:C80 C82:C83 C86:C87 C90:C91">
      <formula1>" 🚧,Oui,Non"</formula1>
    </dataValidation>
    <dataValidation type="list" allowBlank="1" showErrorMessage="1" sqref="B24">
      <formula1>$H$24:$H$30</formula1>
    </dataValidation>
    <dataValidation type="list" allowBlank="1" showErrorMessage="1" sqref="B26">
      <formula1>$J$24:$J$30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13"/>
    <col customWidth="1" min="2" max="2" width="36.88"/>
    <col customWidth="1" min="3" max="3" width="10.38"/>
    <col customWidth="1" min="4" max="6" width="31.25"/>
    <col customWidth="1" min="7" max="7" width="54.0"/>
    <col customWidth="1" min="8" max="10" width="27.25"/>
  </cols>
  <sheetData>
    <row r="1">
      <c r="A1" s="2" t="s">
        <v>0</v>
      </c>
      <c r="B1" s="5">
        <v>1.0</v>
      </c>
      <c r="C1" s="2" t="s">
        <v>6</v>
      </c>
      <c r="D1" s="8" t="s">
        <v>8</v>
      </c>
      <c r="E1" s="2" t="s">
        <v>10</v>
      </c>
      <c r="F1" s="10" t="str">
        <f>IFERROR(__xludf.DUMMYFUNCTION("QUERY(Rosters!A13:G42,CONCATENATE(""select Col7  where Col1="",B1, ""limit 1""))"),"B - Supply Drop / Tipping Point")</f>
        <v>B - Supply Drop / Tipping Point</v>
      </c>
    </row>
    <row r="2">
      <c r="C2" s="2" t="s">
        <v>12</v>
      </c>
      <c r="D2" s="12" t="str">
        <f>IFERROR(__xludf.DUMMYFUNCTION("QUERY(Estimes!A3:J32,CONCATENATE(""select Col4  where Col1="",B1, ""limit 1""))"),"GSH")</f>
        <v>GSH</v>
      </c>
    </row>
    <row r="3">
      <c r="A3" s="14" t="s">
        <v>21</v>
      </c>
      <c r="B3" s="16" t="s">
        <v>24</v>
      </c>
    </row>
    <row r="4" outlineLevel="1">
      <c r="A4" s="6"/>
      <c r="B4" s="1" t="str">
        <f>IFERROR(__xludf.DUMMYFUNCTION("QUERY(Estimes!E2:J2)"),"Dark Angel Gladius (Pharn Jonathan)")</f>
        <v>Dark Angel Gladius (Pharn Jonathan)</v>
      </c>
      <c r="C4" s="1" t="str">
        <f>IFERROR(__xludf.DUMMYFUNCTION("""COMPUTED_VALUE"""),"Necrons (AtadiloTho Jérome)")</f>
        <v>Necrons (AtadiloTho Jérome)</v>
      </c>
      <c r="D4" s="1" t="str">
        <f>IFERROR(__xludf.DUMMYFUNCTION("""COMPUTED_VALUE"""),"Tousand sons (Xeroxjager Antoine)")</f>
        <v>Tousand sons (Xeroxjager Antoine)</v>
      </c>
      <c r="E4" s="1" t="str">
        <f>IFERROR(__xludf.DUMMYFUNCTION("""COMPUTED_VALUE"""),"Tyranides (El_MoZo Morgan)")</f>
        <v>Tyranides (El_MoZo Morgan)</v>
      </c>
      <c r="F4" s="1" t="str">
        <f>IFERROR(__xludf.DUMMYFUNCTION("""COMPUTED_VALUE"""),"Astra Militarum (Punkachien Marc)")</f>
        <v>Astra Militarum (Punkachien Marc)</v>
      </c>
      <c r="G4" s="1" t="str">
        <f>IFERROR(__xludf.DUMMYFUNCTION("""COMPUTED_VALUE"""),"T au (DoubleRation David)")</f>
        <v>T au (DoubleRation David)</v>
      </c>
    </row>
    <row r="5" outlineLevel="1">
      <c r="A5" s="1" t="str">
        <f>IFERROR(__xludf.DUMMYFUNCTION("QUERY(Estimes!A3:J32,CONCATENATE(""select Col2, Col5, Col6, Col7, Col8, Col9, Col10  where Col1="",B1))"),"Necrons - wakened Dynasty (Keyradin)")</f>
        <v>Necrons - wakened Dynasty (Keyradin)</v>
      </c>
      <c r="B5" s="25">
        <f>IFERROR(__xludf.DUMMYFUNCTION("""COMPUTED_VALUE"""),4.0)</f>
        <v>4</v>
      </c>
      <c r="C5" s="25">
        <f>IFERROR(__xludf.DUMMYFUNCTION("""COMPUTED_VALUE"""),3.0)</f>
        <v>3</v>
      </c>
      <c r="D5" s="25">
        <f>IFERROR(__xludf.DUMMYFUNCTION("""COMPUTED_VALUE"""),4.0)</f>
        <v>4</v>
      </c>
      <c r="E5" s="25">
        <f>IFERROR(__xludf.DUMMYFUNCTION("""COMPUTED_VALUE"""),3.0)</f>
        <v>3</v>
      </c>
      <c r="F5" s="25">
        <f>IFERROR(__xludf.DUMMYFUNCTION("""COMPUTED_VALUE"""),3.0)</f>
        <v>3</v>
      </c>
      <c r="G5" s="25">
        <f>IFERROR(__xludf.DUMMYFUNCTION("""COMPUTED_VALUE"""),2.0)</f>
        <v>2</v>
      </c>
      <c r="H5" s="29"/>
      <c r="I5" s="29"/>
    </row>
    <row r="6" outlineLevel="1">
      <c r="A6" s="1" t="str">
        <f>IFERROR(__xludf.DUMMYFUNCTION("""COMPUTED_VALUE"""),"Ultramarines - Gladius (Uma)")</f>
        <v>Ultramarines - Gladius (Uma)</v>
      </c>
      <c r="B6" s="25">
        <f>IFERROR(__xludf.DUMMYFUNCTION("""COMPUTED_VALUE"""),4.0)</f>
        <v>4</v>
      </c>
      <c r="C6" s="25">
        <f>IFERROR(__xludf.DUMMYFUNCTION("""COMPUTED_VALUE"""),4.0)</f>
        <v>4</v>
      </c>
      <c r="D6" s="25">
        <f>IFERROR(__xludf.DUMMYFUNCTION("""COMPUTED_VALUE"""),2.0)</f>
        <v>2</v>
      </c>
      <c r="E6" s="25">
        <f>IFERROR(__xludf.DUMMYFUNCTION("""COMPUTED_VALUE"""),5.0)</f>
        <v>5</v>
      </c>
      <c r="F6" s="25">
        <f>IFERROR(__xludf.DUMMYFUNCTION("""COMPUTED_VALUE"""),2.0)</f>
        <v>2</v>
      </c>
      <c r="G6" s="25">
        <f>IFERROR(__xludf.DUMMYFUNCTION("""COMPUTED_VALUE"""),3.0)</f>
        <v>3</v>
      </c>
      <c r="H6" s="29"/>
      <c r="I6" s="29"/>
    </row>
    <row r="7" outlineLevel="1">
      <c r="A7" s="1" t="str">
        <f>IFERROR(__xludf.DUMMYFUNCTION("""COMPUTED_VALUE"""),"Ork - War Horde (LouisC)")</f>
        <v>Ork - War Horde (LouisC)</v>
      </c>
      <c r="B7" s="25">
        <f>IFERROR(__xludf.DUMMYFUNCTION("""COMPUTED_VALUE"""),4.0)</f>
        <v>4</v>
      </c>
      <c r="C7" s="25">
        <f>IFERROR(__xludf.DUMMYFUNCTION("""COMPUTED_VALUE"""),4.0)</f>
        <v>4</v>
      </c>
      <c r="D7" s="25">
        <f>IFERROR(__xludf.DUMMYFUNCTION("""COMPUTED_VALUE"""),4.0)</f>
        <v>4</v>
      </c>
      <c r="E7" s="25">
        <f>IFERROR(__xludf.DUMMYFUNCTION("""COMPUTED_VALUE"""),1.0)</f>
        <v>1</v>
      </c>
      <c r="F7" s="25">
        <f>IFERROR(__xludf.DUMMYFUNCTION("""COMPUTED_VALUE"""),3.0)</f>
        <v>3</v>
      </c>
      <c r="G7" s="25">
        <f>IFERROR(__xludf.DUMMYFUNCTION("""COMPUTED_VALUE"""),2.0)</f>
        <v>2</v>
      </c>
      <c r="H7" s="29"/>
      <c r="I7" s="29"/>
    </row>
    <row r="8" outlineLevel="1">
      <c r="A8" s="1" t="str">
        <f>IFERROR(__xludf.DUMMYFUNCTION("""COMPUTED_VALUE"""),"Votann - Hearthband (Pastabolo)")</f>
        <v>Votann - Hearthband (Pastabolo)</v>
      </c>
      <c r="B8" s="25">
        <f>IFERROR(__xludf.DUMMYFUNCTION("""COMPUTED_VALUE"""),4.0)</f>
        <v>4</v>
      </c>
      <c r="C8" s="25">
        <f>IFERROR(__xludf.DUMMYFUNCTION("""COMPUTED_VALUE"""),4.0)</f>
        <v>4</v>
      </c>
      <c r="D8" s="25">
        <f>IFERROR(__xludf.DUMMYFUNCTION("""COMPUTED_VALUE"""),3.0)</f>
        <v>3</v>
      </c>
      <c r="E8" s="25">
        <f>IFERROR(__xludf.DUMMYFUNCTION("""COMPUTED_VALUE"""),4.0)</f>
        <v>4</v>
      </c>
      <c r="F8" s="25">
        <f>IFERROR(__xludf.DUMMYFUNCTION("""COMPUTED_VALUE"""),4.0)</f>
        <v>4</v>
      </c>
      <c r="G8" s="25">
        <f>IFERROR(__xludf.DUMMYFUNCTION("""COMPUTED_VALUE"""),4.0)</f>
        <v>4</v>
      </c>
      <c r="H8" s="29"/>
      <c r="I8" s="29"/>
    </row>
    <row r="9" outlineLevel="1">
      <c r="A9" s="1" t="str">
        <f>IFERROR(__xludf.DUMMYFUNCTION("""COMPUTED_VALUE"""),"Death Guard - Virulent Vectorium (Urknar)")</f>
        <v>Death Guard - Virulent Vectorium (Urknar)</v>
      </c>
      <c r="B9" s="25">
        <f>IFERROR(__xludf.DUMMYFUNCTION("""COMPUTED_VALUE"""),3.0)</f>
        <v>3</v>
      </c>
      <c r="C9" s="25">
        <f>IFERROR(__xludf.DUMMYFUNCTION("""COMPUTED_VALUE"""),4.0)</f>
        <v>4</v>
      </c>
      <c r="D9" s="25">
        <f>IFERROR(__xludf.DUMMYFUNCTION("""COMPUTED_VALUE"""),3.0)</f>
        <v>3</v>
      </c>
      <c r="E9" s="25">
        <f>IFERROR(__xludf.DUMMYFUNCTION("""COMPUTED_VALUE"""),4.0)</f>
        <v>4</v>
      </c>
      <c r="F9" s="25">
        <f>IFERROR(__xludf.DUMMYFUNCTION("""COMPUTED_VALUE"""),5.0)</f>
        <v>5</v>
      </c>
      <c r="G9" s="25">
        <f>IFERROR(__xludf.DUMMYFUNCTION("""COMPUTED_VALUE"""),3.0)</f>
        <v>3</v>
      </c>
      <c r="H9" s="29"/>
      <c r="I9" s="29"/>
    </row>
    <row r="10" outlineLevel="1">
      <c r="A10" s="1" t="str">
        <f>IFERROR(__xludf.DUMMYFUNCTION("""COMPUTED_VALUE"""),"Custodes - Talons of Emperor (LeMoff)")</f>
        <v>Custodes - Talons of Emperor (LeMoff)</v>
      </c>
      <c r="B10" s="25">
        <f>IFERROR(__xludf.DUMMYFUNCTION("""COMPUTED_VALUE"""),2.0)</f>
        <v>2</v>
      </c>
      <c r="C10" s="25">
        <f>IFERROR(__xludf.DUMMYFUNCTION("""COMPUTED_VALUE"""),2.0)</f>
        <v>2</v>
      </c>
      <c r="D10" s="25">
        <f>IFERROR(__xludf.DUMMYFUNCTION("""COMPUTED_VALUE"""),2.0)</f>
        <v>2</v>
      </c>
      <c r="E10" s="25">
        <f>IFERROR(__xludf.DUMMYFUNCTION("""COMPUTED_VALUE"""),4.0)</f>
        <v>4</v>
      </c>
      <c r="F10" s="25">
        <f>IFERROR(__xludf.DUMMYFUNCTION("""COMPUTED_VALUE"""),1.0)</f>
        <v>1</v>
      </c>
      <c r="G10" s="25">
        <f>IFERROR(__xludf.DUMMYFUNCTION("""COMPUTED_VALUE"""),4.0)</f>
        <v>4</v>
      </c>
      <c r="H10" s="29"/>
      <c r="I10" s="29"/>
    </row>
    <row r="11" outlineLevel="1"/>
    <row r="12" outlineLevel="1">
      <c r="A12" s="16" t="s">
        <v>39</v>
      </c>
    </row>
    <row r="13" outlineLevel="1">
      <c r="A13" s="1" t="str">
        <f t="array" ref="A13:G19">TRANSPOSE(A4:G10)</f>
        <v/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61</v>
      </c>
    </row>
    <row r="14" outlineLevel="1">
      <c r="A14" s="1" t="s">
        <v>48</v>
      </c>
      <c r="B14" s="25">
        <v>4.0</v>
      </c>
      <c r="C14" s="25">
        <v>4.0</v>
      </c>
      <c r="D14" s="25">
        <v>4.0</v>
      </c>
      <c r="E14" s="25">
        <v>4.0</v>
      </c>
      <c r="F14" s="25">
        <v>3.0</v>
      </c>
      <c r="G14" s="25">
        <v>2.0</v>
      </c>
    </row>
    <row r="15" outlineLevel="1">
      <c r="A15" s="1" t="s">
        <v>15</v>
      </c>
      <c r="B15" s="25">
        <v>3.0</v>
      </c>
      <c r="C15" s="25">
        <v>4.0</v>
      </c>
      <c r="D15" s="25">
        <v>4.0</v>
      </c>
      <c r="E15" s="25">
        <v>4.0</v>
      </c>
      <c r="F15" s="25">
        <v>4.0</v>
      </c>
      <c r="G15" s="25">
        <v>2.0</v>
      </c>
    </row>
    <row r="16" outlineLevel="1">
      <c r="A16" s="1" t="s">
        <v>16</v>
      </c>
      <c r="B16" s="25">
        <v>4.0</v>
      </c>
      <c r="C16" s="25">
        <v>2.0</v>
      </c>
      <c r="D16" s="25">
        <v>4.0</v>
      </c>
      <c r="E16" s="25">
        <v>3.0</v>
      </c>
      <c r="F16" s="25">
        <v>3.0</v>
      </c>
      <c r="G16" s="25">
        <v>2.0</v>
      </c>
    </row>
    <row r="17" outlineLevel="1">
      <c r="A17" s="1" t="s">
        <v>17</v>
      </c>
      <c r="B17" s="25">
        <v>3.0</v>
      </c>
      <c r="C17" s="25">
        <v>5.0</v>
      </c>
      <c r="D17" s="25">
        <v>1.0</v>
      </c>
      <c r="E17" s="25">
        <v>4.0</v>
      </c>
      <c r="F17" s="25">
        <v>4.0</v>
      </c>
      <c r="G17" s="25">
        <v>4.0</v>
      </c>
    </row>
    <row r="18" outlineLevel="1">
      <c r="A18" s="1" t="s">
        <v>18</v>
      </c>
      <c r="B18" s="25">
        <v>3.0</v>
      </c>
      <c r="C18" s="25">
        <v>2.0</v>
      </c>
      <c r="D18" s="25">
        <v>3.0</v>
      </c>
      <c r="E18" s="25">
        <v>4.0</v>
      </c>
      <c r="F18" s="25">
        <v>5.0</v>
      </c>
      <c r="G18" s="25">
        <v>1.0</v>
      </c>
    </row>
    <row r="19" outlineLevel="1">
      <c r="A19" s="1" t="s">
        <v>19</v>
      </c>
      <c r="B19" s="25">
        <v>2.0</v>
      </c>
      <c r="C19" s="25">
        <v>3.0</v>
      </c>
      <c r="D19" s="25">
        <v>2.0</v>
      </c>
      <c r="E19" s="25">
        <v>4.0</v>
      </c>
      <c r="F19" s="25">
        <v>3.0</v>
      </c>
      <c r="G19" s="25">
        <v>4.0</v>
      </c>
    </row>
    <row r="21">
      <c r="A21" s="14" t="s">
        <v>66</v>
      </c>
      <c r="B21" s="16" t="s">
        <v>24</v>
      </c>
      <c r="I21" s="16"/>
      <c r="J21" s="16"/>
    </row>
    <row r="22" outlineLevel="1">
      <c r="A22" s="39" t="s">
        <v>69</v>
      </c>
      <c r="C22" s="40"/>
      <c r="I22" s="16"/>
      <c r="J22" s="16"/>
    </row>
    <row r="23" outlineLevel="1">
      <c r="C23" s="41" t="s">
        <v>71</v>
      </c>
      <c r="D23" s="42" t="s">
        <v>72</v>
      </c>
      <c r="E23" s="43" t="s">
        <v>73</v>
      </c>
      <c r="F23" s="44" t="s">
        <v>77</v>
      </c>
      <c r="H23" s="12" t="s">
        <v>78</v>
      </c>
      <c r="I23" s="8" t="s">
        <v>80</v>
      </c>
      <c r="J23" s="8" t="s">
        <v>81</v>
      </c>
    </row>
    <row r="24" outlineLevel="1">
      <c r="A24" s="45" t="s">
        <v>82</v>
      </c>
      <c r="B24" s="46" t="s">
        <v>61</v>
      </c>
      <c r="C24" s="41"/>
      <c r="D24" s="48" t="str">
        <f>IFERROR(__xludf.DUMMYFUNCTION("QUERY($A$14:$G$19, CONCATENATE(""Select Col1 where Col"",match(B24,$A$4:$A$10,0),""&gt;3 and not  Col1 contains '"",$B$76,""'""),0)"),"Tyranides (El_MoZo Morgan)")</f>
        <v>Tyranides (El_MoZo Morgan)</v>
      </c>
      <c r="E24" s="49" t="str">
        <f>IFERROR(__xludf.DUMMYFUNCTION("QUERY($A$14:$G$19, CONCATENATE(""Select Col1 where Col"",match(B24,$A$4:$A$10,0),""=3 and not  Col1 contains '"",$B$76,""'""),0)"),"#N/A")</f>
        <v>#N/A</v>
      </c>
      <c r="F24" s="50" t="str">
        <f>IFERROR(__xludf.DUMMYFUNCTION("QUERY($A$14:$G$19, CONCATENATE(""Select Col1 where Col"",match(B24,$A$4:$A$10,0),""&lt;3 and not  Col1 contains '"",$B$76,""'""),0)"),"Dark Angel Gladius (Pharn Jonathan)")</f>
        <v>Dark Angel Gladius (Pharn Jonathan)</v>
      </c>
      <c r="H24" s="10" t="str">
        <f>IFERROR(__xludf.DUMMYFUNCTION("QUERY(A5:A10)"),"Necrons - wakened Dynasty (Keyradin)")</f>
        <v>Necrons - wakened Dynasty (Keyradin)</v>
      </c>
      <c r="I24" s="10" t="str">
        <f>IFERROR(__xludf.DUMMYFUNCTION("filter(H34:H39,H34:H39&lt;&gt;B34)"),"Dark Angel Gladius (Pharn Jonathan)")</f>
        <v>Dark Angel Gladius (Pharn Jonathan)</v>
      </c>
      <c r="J24" s="10" t="str">
        <f>IFERROR(__xludf.DUMMYFUNCTION("filter(H34:H39,H34:H39&lt;&gt;B34,H34:H39&lt;&gt;B25)"),"Dark Angel Gladius (Pharn Jonathan)")</f>
        <v>Dark Angel Gladius (Pharn Jonathan)</v>
      </c>
    </row>
    <row r="25" outlineLevel="1">
      <c r="A25" s="51" t="s">
        <v>104</v>
      </c>
      <c r="B25" s="52" t="s">
        <v>17</v>
      </c>
      <c r="C25" s="53" t="s">
        <v>106</v>
      </c>
      <c r="D25" s="48"/>
      <c r="E25" s="49"/>
      <c r="F25" s="50" t="str">
        <f>IFERROR(__xludf.DUMMYFUNCTION("""COMPUTED_VALUE"""),"Necrons (AtadiloTho Jérome)")</f>
        <v>Necrons (AtadiloTho Jérome)</v>
      </c>
      <c r="H25" s="10" t="str">
        <f>IFERROR(__xludf.DUMMYFUNCTION("""COMPUTED_VALUE"""),"Ultramarines - Gladius (Uma)")</f>
        <v>Ultramarines - Gladius (Uma)</v>
      </c>
      <c r="I25" s="10" t="str">
        <f>IFERROR(__xludf.DUMMYFUNCTION("""COMPUTED_VALUE"""),"Necrons (AtadiloTho Jérome)")</f>
        <v>Necrons (AtadiloTho Jérome)</v>
      </c>
      <c r="J25" s="10" t="str">
        <f>IFERROR(__xludf.DUMMYFUNCTION("""COMPUTED_VALUE"""),"Necrons (AtadiloTho Jérome)")</f>
        <v>Necrons (AtadiloTho Jérome)</v>
      </c>
    </row>
    <row r="26" outlineLevel="1">
      <c r="A26" s="51" t="s">
        <v>105</v>
      </c>
      <c r="B26" s="52" t="s">
        <v>16</v>
      </c>
      <c r="C26" s="53" t="s">
        <v>107</v>
      </c>
      <c r="D26" s="48"/>
      <c r="E26" s="49"/>
      <c r="F26" s="50" t="str">
        <f>IFERROR(__xludf.DUMMYFUNCTION("""COMPUTED_VALUE"""),"Tousand sons (Xeroxjager Antoine)")</f>
        <v>Tousand sons (Xeroxjager Antoine)</v>
      </c>
      <c r="H26" s="10" t="str">
        <f>IFERROR(__xludf.DUMMYFUNCTION("""COMPUTED_VALUE"""),"Ork - War Horde (LouisC)")</f>
        <v>Ork - War Horde (LouisC)</v>
      </c>
      <c r="I26" s="10" t="str">
        <f>IFERROR(__xludf.DUMMYFUNCTION("""COMPUTED_VALUE"""),"Tousand sons (Xeroxjager Antoine)")</f>
        <v>Tousand sons (Xeroxjager Antoine)</v>
      </c>
      <c r="J26" s="10" t="str">
        <f>IFERROR(__xludf.DUMMYFUNCTION("""COMPUTED_VALUE"""),"Tousand sons (Xeroxjager Antoine)")</f>
        <v>Tousand sons (Xeroxjager Antoine)</v>
      </c>
    </row>
    <row r="27" outlineLevel="1">
      <c r="A27" s="1"/>
      <c r="B27" s="1"/>
      <c r="C27" s="1"/>
      <c r="D27" s="48"/>
      <c r="E27" s="49"/>
      <c r="F27" s="50" t="str">
        <f>IFERROR(__xludf.DUMMYFUNCTION("""COMPUTED_VALUE"""),"Astra Militarum (Punkachien Marc)")</f>
        <v>Astra Militarum (Punkachien Marc)</v>
      </c>
      <c r="H27" s="10" t="str">
        <f>IFERROR(__xludf.DUMMYFUNCTION("""COMPUTED_VALUE"""),"Votann - Hearthband (Pastabolo)")</f>
        <v>Votann - Hearthband (Pastabolo)</v>
      </c>
      <c r="I27" s="10" t="str">
        <f>IFERROR(__xludf.DUMMYFUNCTION("""COMPUTED_VALUE"""),"Tyranides (El_MoZo Morgan)")</f>
        <v>Tyranides (El_MoZo Morgan)</v>
      </c>
      <c r="J27" s="10" t="str">
        <f>IFERROR(__xludf.DUMMYFUNCTION("""COMPUTED_VALUE"""),"Astra Militarum (Punkachien Marc)")</f>
        <v>Astra Militarum (Punkachien Marc)</v>
      </c>
    </row>
    <row r="28" outlineLevel="1">
      <c r="A28" s="1"/>
      <c r="B28" s="1"/>
      <c r="C28" s="1"/>
      <c r="D28" s="48"/>
      <c r="E28" s="49"/>
      <c r="F28" s="50"/>
      <c r="H28" s="10" t="str">
        <f>IFERROR(__xludf.DUMMYFUNCTION("""COMPUTED_VALUE"""),"Death Guard - Virulent Vectorium (Urknar)")</f>
        <v>Death Guard - Virulent Vectorium (Urknar)</v>
      </c>
      <c r="I28" s="10" t="str">
        <f>IFERROR(__xludf.DUMMYFUNCTION("""COMPUTED_VALUE"""),"Astra Militarum (Punkachien Marc)")</f>
        <v>Astra Militarum (Punkachien Marc)</v>
      </c>
    </row>
    <row r="29" outlineLevel="1">
      <c r="H29" s="10" t="str">
        <f>IFERROR(__xludf.DUMMYFUNCTION("""COMPUTED_VALUE"""),"Custodes - Talons of Emperor (LeMoff)")</f>
        <v>Custodes - Talons of Emperor (LeMoff)</v>
      </c>
    </row>
    <row r="30" outlineLevel="1">
      <c r="H30" s="16" t="s">
        <v>93</v>
      </c>
      <c r="I30" s="16" t="s">
        <v>93</v>
      </c>
      <c r="J30" s="16" t="s">
        <v>93</v>
      </c>
    </row>
    <row r="31" outlineLevel="1"/>
    <row r="32" outlineLevel="1">
      <c r="A32" s="39" t="s">
        <v>108</v>
      </c>
      <c r="C32" s="40"/>
      <c r="I32" s="16"/>
      <c r="J32" s="16"/>
    </row>
    <row r="33" outlineLevel="1">
      <c r="C33" s="41" t="s">
        <v>71</v>
      </c>
      <c r="D33" s="54" t="s">
        <v>72</v>
      </c>
      <c r="E33" s="55" t="s">
        <v>73</v>
      </c>
      <c r="F33" s="56" t="s">
        <v>77</v>
      </c>
      <c r="H33" s="8" t="s">
        <v>109</v>
      </c>
      <c r="I33" s="12" t="s">
        <v>110</v>
      </c>
      <c r="J33" s="12" t="s">
        <v>111</v>
      </c>
    </row>
    <row r="34" outlineLevel="1">
      <c r="A34" s="57" t="s">
        <v>112</v>
      </c>
      <c r="B34" s="8" t="s">
        <v>19</v>
      </c>
      <c r="C34" s="41"/>
      <c r="D34" s="48" t="str">
        <f>IFERROR(__xludf.DUMMYFUNCTION("QUERY($A$5:$G$10, CONCATENATE(""Select Col1 where Col"",match(B34,$A$13:$A$19,0),""&gt;3 and not  Col1 contains '"",$B$73,""'""),0)"),"Votann - Hearthband (Pastabolo)")</f>
        <v>Votann - Hearthband (Pastabolo)</v>
      </c>
      <c r="E34" s="49" t="str">
        <f>IFERROR(__xludf.DUMMYFUNCTION("QUERY($A$5:$G$10, CONCATENATE(""Select Col1 where Col"",match(B34,$A$13:$A$19,0),""=3 and not  Col1 contains '"",$B$73,""'""),0)"),"Ultramarines - Gladius (Uma)")</f>
        <v>Ultramarines - Gladius (Uma)</v>
      </c>
      <c r="F34" s="50" t="str">
        <f>IFERROR(__xludf.DUMMYFUNCTION("QUERY($A$5:$G$10, CONCATENATE(""Select Col1 where Col"",match(B34,$A$13:$A$19,0),""&lt;3 and not  Col1 contains '"",$B$73,""'""),0)"),"Necrons - wakened Dynasty (Keyradin)")</f>
        <v>Necrons - wakened Dynasty (Keyradin)</v>
      </c>
      <c r="H34" s="10" t="str">
        <f>IFERROR(__xludf.DUMMYFUNCTION("QUERY(A14:A19)"),"Dark Angel Gladius (Pharn Jonathan)")</f>
        <v>Dark Angel Gladius (Pharn Jonathan)</v>
      </c>
      <c r="I34" s="10" t="str">
        <f>IFERROR(__xludf.DUMMYFUNCTION("filter(H24:H29,H24:H29&lt;&gt;B24)"),"Necrons - wakened Dynasty (Keyradin)")</f>
        <v>Necrons - wakened Dynasty (Keyradin)</v>
      </c>
      <c r="J34" s="10" t="str">
        <f>IFERROR(__xludf.DUMMYFUNCTION("filter(H24:H29,H24:H29&lt;&gt;B24,H24:H29&lt;&gt;B35)"),"Necrons - wakened Dynasty (Keyradin)")</f>
        <v>Necrons - wakened Dynasty (Keyradin)</v>
      </c>
    </row>
    <row r="35" outlineLevel="1">
      <c r="A35" s="58" t="s">
        <v>113</v>
      </c>
      <c r="B35" s="12" t="s">
        <v>58</v>
      </c>
      <c r="C35" s="53" t="s">
        <v>106</v>
      </c>
      <c r="D35" s="48"/>
      <c r="E35" s="49" t="str">
        <f>IFERROR(__xludf.DUMMYFUNCTION("""COMPUTED_VALUE"""),"Death Guard - Virulent Vectorium (Urknar)")</f>
        <v>Death Guard - Virulent Vectorium (Urknar)</v>
      </c>
      <c r="F35" s="50" t="str">
        <f>IFERROR(__xludf.DUMMYFUNCTION("""COMPUTED_VALUE"""),"Ork - War Horde (LouisC)")</f>
        <v>Ork - War Horde (LouisC)</v>
      </c>
      <c r="H35" s="10" t="str">
        <f>IFERROR(__xludf.DUMMYFUNCTION("""COMPUTED_VALUE"""),"Necrons (AtadiloTho Jérome)")</f>
        <v>Necrons (AtadiloTho Jérome)</v>
      </c>
      <c r="I35" s="10" t="str">
        <f>IFERROR(__xludf.DUMMYFUNCTION("""COMPUTED_VALUE"""),"Ultramarines - Gladius (Uma)")</f>
        <v>Ultramarines - Gladius (Uma)</v>
      </c>
      <c r="J35" s="10" t="str">
        <f>IFERROR(__xludf.DUMMYFUNCTION("""COMPUTED_VALUE"""),"Ultramarines - Gladius (Uma)")</f>
        <v>Ultramarines - Gladius (Uma)</v>
      </c>
    </row>
    <row r="36" outlineLevel="1">
      <c r="A36" s="58" t="s">
        <v>114</v>
      </c>
      <c r="B36" s="12" t="s">
        <v>57</v>
      </c>
      <c r="C36" s="53" t="s">
        <v>107</v>
      </c>
      <c r="D36" s="48"/>
      <c r="E36" s="49"/>
      <c r="F36" s="50"/>
      <c r="H36" s="10" t="str">
        <f>IFERROR(__xludf.DUMMYFUNCTION("""COMPUTED_VALUE"""),"Tousand sons (Xeroxjager Antoine)")</f>
        <v>Tousand sons (Xeroxjager Antoine)</v>
      </c>
      <c r="I36" s="10" t="str">
        <f>IFERROR(__xludf.DUMMYFUNCTION("""COMPUTED_VALUE"""),"Ork - War Horde (LouisC)")</f>
        <v>Ork - War Horde (LouisC)</v>
      </c>
      <c r="J36" s="10" t="str">
        <f>IFERROR(__xludf.DUMMYFUNCTION("""COMPUTED_VALUE"""),"Ork - War Horde (LouisC)")</f>
        <v>Ork - War Horde (LouisC)</v>
      </c>
    </row>
    <row r="37" outlineLevel="1">
      <c r="A37" s="1"/>
      <c r="B37" s="1"/>
      <c r="C37" s="1"/>
      <c r="D37" s="48"/>
      <c r="E37" s="49"/>
      <c r="F37" s="50"/>
      <c r="H37" s="10" t="str">
        <f>IFERROR(__xludf.DUMMYFUNCTION("""COMPUTED_VALUE"""),"Tyranides (El_MoZo Morgan)")</f>
        <v>Tyranides (El_MoZo Morgan)</v>
      </c>
      <c r="I37" s="10" t="str">
        <f>IFERROR(__xludf.DUMMYFUNCTION("""COMPUTED_VALUE"""),"Votann - Hearthband (Pastabolo)")</f>
        <v>Votann - Hearthband (Pastabolo)</v>
      </c>
      <c r="J37" s="10" t="str">
        <f>IFERROR(__xludf.DUMMYFUNCTION("""COMPUTED_VALUE"""),"Death Guard - Virulent Vectorium (Urknar)")</f>
        <v>Death Guard - Virulent Vectorium (Urknar)</v>
      </c>
    </row>
    <row r="38" outlineLevel="1">
      <c r="A38" s="1"/>
      <c r="B38" s="1"/>
      <c r="C38" s="1"/>
      <c r="D38" s="48"/>
      <c r="E38" s="49"/>
      <c r="F38" s="50"/>
      <c r="H38" s="10" t="str">
        <f>IFERROR(__xludf.DUMMYFUNCTION("""COMPUTED_VALUE"""),"Astra Militarum (Punkachien Marc)")</f>
        <v>Astra Militarum (Punkachien Marc)</v>
      </c>
      <c r="I38" s="10" t="str">
        <f>IFERROR(__xludf.DUMMYFUNCTION("""COMPUTED_VALUE"""),"Death Guard - Virulent Vectorium (Urknar)")</f>
        <v>Death Guard - Virulent Vectorium (Urknar)</v>
      </c>
    </row>
    <row r="39" outlineLevel="1">
      <c r="H39" s="10" t="str">
        <f>IFERROR(__xludf.DUMMYFUNCTION("""COMPUTED_VALUE"""),"T au (DoubleRation David)")</f>
        <v>T au (DoubleRation David)</v>
      </c>
    </row>
    <row r="40" outlineLevel="1">
      <c r="H40" s="16" t="s">
        <v>93</v>
      </c>
      <c r="I40" s="16" t="s">
        <v>93</v>
      </c>
      <c r="J40" s="16" t="s">
        <v>93</v>
      </c>
    </row>
    <row r="42">
      <c r="A42" s="14" t="s">
        <v>115</v>
      </c>
      <c r="B42" s="16" t="s">
        <v>24</v>
      </c>
    </row>
    <row r="43" outlineLevel="1">
      <c r="A43" s="39" t="s">
        <v>69</v>
      </c>
      <c r="C43" s="40"/>
      <c r="I43" s="16"/>
      <c r="J43" s="16"/>
    </row>
    <row r="44" outlineLevel="1">
      <c r="C44" s="41" t="s">
        <v>71</v>
      </c>
      <c r="D44" s="42" t="s">
        <v>72</v>
      </c>
      <c r="E44" s="43" t="s">
        <v>73</v>
      </c>
      <c r="F44" s="44" t="s">
        <v>77</v>
      </c>
      <c r="H44" s="12" t="s">
        <v>78</v>
      </c>
      <c r="I44" s="8" t="s">
        <v>80</v>
      </c>
      <c r="J44" s="8" t="s">
        <v>81</v>
      </c>
    </row>
    <row r="45" outlineLevel="1">
      <c r="A45" s="45" t="s">
        <v>82</v>
      </c>
      <c r="B45" s="46" t="s">
        <v>56</v>
      </c>
      <c r="C45" s="41"/>
      <c r="D45" s="48" t="str">
        <f>IFERROR(__xludf.DUMMYFUNCTION("QUERY($A$14:$G$19, CONCATENATE(""Select Col1 where Col"",match(B45,$A$4:$A$10,0),""&gt;3 and not  Col1 contains '"",$B$76,""' and not  Col1 contains '"",$B$74,""' and not  Col1 contains '"",$B$82,""'""),0)"),"Dark Angel Gladius (Pharn Jonathan)")</f>
        <v>Dark Angel Gladius (Pharn Jonathan)</v>
      </c>
      <c r="E45" s="49" t="str">
        <f>IFERROR(__xludf.DUMMYFUNCTION("QUERY($A$14:$G$19, CONCATENATE(""Select Col1 where Col"",match(B45,$A$4:$A$10,0),""=3 and not  Col1 contains '"",$B$76,""' and not  Col1 contains '"",$B$74,""' and not  Col1 contains '"",$B$82,""'""),0)"),"#N/A")</f>
        <v>#N/A</v>
      </c>
      <c r="F45" s="50" t="str">
        <f>IFERROR(__xludf.DUMMYFUNCTION("QUERY($A$14:$G$19, CONCATENATE(""Select Col1 where Col"",match(B45,$A$4:$A$10,0),""&lt;3 and not  Col1 contains '"",$B$76,""' and not  Col1 contains '"",$B$74,""' and not  Col1 contains '"",$B$82,""'""),0)"),"Tousand sons (Xeroxjager Antoine)")</f>
        <v>Tousand sons (Xeroxjager Antoine)</v>
      </c>
      <c r="H45" s="10" t="str">
        <f>IFERROR(__xludf.DUMMYFUNCTION("filter(H24:H29,H24:H29&lt;&gt;B73,H24:H29&lt;&gt;B77)"),"Necrons - wakened Dynasty (Keyradin)")</f>
        <v>Necrons - wakened Dynasty (Keyradin)</v>
      </c>
      <c r="I45" s="10" t="str">
        <f>IFERROR(__xludf.DUMMYFUNCTION("filter(H55:H59,H55:H59&lt;&gt;B55)"),"Dark Angel Gladius (Pharn Jonathan)")</f>
        <v>Dark Angel Gladius (Pharn Jonathan)</v>
      </c>
      <c r="J45" s="10" t="str">
        <f>IFERROR(__xludf.DUMMYFUNCTION("filter(H55:H59,H55:H59&lt;&gt;B55,H55:H59&lt;&gt;B46)"),"Necrons (AtadiloTho Jérome)")</f>
        <v>Necrons (AtadiloTho Jérome)</v>
      </c>
    </row>
    <row r="46" outlineLevel="1">
      <c r="A46" s="51" t="s">
        <v>104</v>
      </c>
      <c r="B46" s="52" t="s">
        <v>48</v>
      </c>
      <c r="C46" s="53" t="s">
        <v>106</v>
      </c>
      <c r="D46" s="48" t="str">
        <f>IFERROR(__xludf.DUMMYFUNCTION("""COMPUTED_VALUE"""),"Necrons (AtadiloTho Jérome)")</f>
        <v>Necrons (AtadiloTho Jérome)</v>
      </c>
      <c r="E46" s="49"/>
      <c r="F46" s="50"/>
      <c r="H46" s="10" t="str">
        <f>IFERROR(__xludf.DUMMYFUNCTION("""COMPUTED_VALUE"""),"Ultramarines - Gladius (Uma)")</f>
        <v>Ultramarines - Gladius (Uma)</v>
      </c>
      <c r="I46" s="10" t="str">
        <f>IFERROR(__xludf.DUMMYFUNCTION("""COMPUTED_VALUE"""),"Necrons (AtadiloTho Jérome)")</f>
        <v>Necrons (AtadiloTho Jérome)</v>
      </c>
      <c r="J46" s="10" t="str">
        <f>IFERROR(__xludf.DUMMYFUNCTION("""COMPUTED_VALUE"""),"Tousand sons (Xeroxjager Antoine)")</f>
        <v>Tousand sons (Xeroxjager Antoine)</v>
      </c>
    </row>
    <row r="47" outlineLevel="1">
      <c r="A47" s="51" t="s">
        <v>105</v>
      </c>
      <c r="B47" s="52" t="s">
        <v>15</v>
      </c>
      <c r="C47" s="53" t="s">
        <v>107</v>
      </c>
      <c r="D47" s="48"/>
      <c r="E47" s="49"/>
      <c r="F47" s="50"/>
      <c r="H47" s="10" t="str">
        <f>IFERROR(__xludf.DUMMYFUNCTION("""COMPUTED_VALUE"""),"Ork - War Horde (LouisC)")</f>
        <v>Ork - War Horde (LouisC)</v>
      </c>
      <c r="I47" s="10" t="str">
        <f>IFERROR(__xludf.DUMMYFUNCTION("""COMPUTED_VALUE"""),"Tousand sons (Xeroxjager Antoine)")</f>
        <v>Tousand sons (Xeroxjager Antoine)</v>
      </c>
      <c r="J47" s="10"/>
    </row>
    <row r="48" outlineLevel="1">
      <c r="A48" s="1"/>
      <c r="B48" s="1"/>
      <c r="C48" s="1"/>
      <c r="D48" s="48"/>
      <c r="E48" s="49"/>
      <c r="F48" s="50"/>
      <c r="H48" s="10" t="str">
        <f>IFERROR(__xludf.DUMMYFUNCTION("""COMPUTED_VALUE"""),"Death Guard - Virulent Vectorium (Urknar)")</f>
        <v>Death Guard - Virulent Vectorium (Urknar)</v>
      </c>
      <c r="I48" s="10"/>
    </row>
    <row r="49" outlineLevel="1">
      <c r="A49" s="1"/>
      <c r="B49" s="1"/>
      <c r="C49" s="1"/>
      <c r="D49" s="48"/>
      <c r="E49" s="49"/>
      <c r="F49" s="50"/>
    </row>
    <row r="50" outlineLevel="1">
      <c r="H50" s="16" t="s">
        <v>93</v>
      </c>
      <c r="I50" s="16" t="s">
        <v>93</v>
      </c>
      <c r="J50" s="16" t="s">
        <v>93</v>
      </c>
    </row>
    <row r="51" outlineLevel="1"/>
    <row r="52" outlineLevel="1"/>
    <row r="53" outlineLevel="1">
      <c r="A53" s="39" t="s">
        <v>108</v>
      </c>
      <c r="C53" s="40"/>
      <c r="I53" s="16"/>
      <c r="J53" s="16"/>
    </row>
    <row r="54" outlineLevel="1">
      <c r="C54" s="41" t="s">
        <v>71</v>
      </c>
      <c r="D54" s="54" t="s">
        <v>72</v>
      </c>
      <c r="E54" s="55" t="s">
        <v>73</v>
      </c>
      <c r="F54" s="56" t="s">
        <v>77</v>
      </c>
      <c r="H54" s="8" t="s">
        <v>109</v>
      </c>
      <c r="I54" s="12" t="s">
        <v>110</v>
      </c>
      <c r="J54" s="12" t="s">
        <v>111</v>
      </c>
    </row>
    <row r="55" outlineLevel="1">
      <c r="A55" s="51" t="s">
        <v>112</v>
      </c>
      <c r="B55" s="52" t="s">
        <v>18</v>
      </c>
      <c r="C55" s="41"/>
      <c r="D55" s="48" t="str">
        <f>IFERROR(__xludf.DUMMYFUNCTION("QUERY($A$5:$G$10, CONCATENATE(""Select Col1 where Col"",match(B55,$A$13:$A$19,0),""&gt;3 and not  Col1 contains '"",$B$73,""' and not  Col1 contains '"",$B$77,""' and not  Col1 contains '"",$B$79,""'""),0)"),"Death Guard - Virulent Vectorium (Urknar)")</f>
        <v>Death Guard - Virulent Vectorium (Urknar)</v>
      </c>
      <c r="E55" s="49" t="str">
        <f>IFERROR(__xludf.DUMMYFUNCTION("QUERY($A$5:$G$10, CONCATENATE(""Select Col1 where Col"",match(B55,$A$13:$A$19,0),""=3 and not  Col1 contains '"",$B$73,""' and not  Col1 contains '"",$B$77,""' and not  Col1 contains '"",$B$79,""'""),0)"),"Necrons - wakened Dynasty (Keyradin)")</f>
        <v>Necrons - wakened Dynasty (Keyradin)</v>
      </c>
      <c r="F55" s="50" t="str">
        <f>IFERROR(__xludf.DUMMYFUNCTION("QUERY($A$5:$G$10, CONCATENATE(""Select Col1 where Col"",match(B55,$A$13:$A$19,0),""&lt;3 and not  Col1 contains '"",$B$73,""' and not  Col1 contains '"",$B$77,""' and not  Col1 contains '"",$B$79,""'""),0)"),"#N/A")</f>
        <v>#N/A</v>
      </c>
      <c r="H55" s="10" t="str">
        <f>IFERROR(__xludf.DUMMYFUNCTION("filter(H34:H39,H34:H39&lt;&gt;B74,H34:H39&lt;&gt;B76)"),"Dark Angel Gladius (Pharn Jonathan)")</f>
        <v>Dark Angel Gladius (Pharn Jonathan)</v>
      </c>
      <c r="I55" s="10" t="str">
        <f>IFERROR(__xludf.DUMMYFUNCTION("filter(H45:H49,H45:H49&lt;&gt;B45)"),"Necrons - wakened Dynasty (Keyradin)")</f>
        <v>Necrons - wakened Dynasty (Keyradin)</v>
      </c>
      <c r="J55" s="10" t="str">
        <f>IFERROR(__xludf.DUMMYFUNCTION("filter(H45:H49,H45:H49&lt;&gt;B45,H45:H49&lt;&gt;B46)"),"Necrons - wakened Dynasty (Keyradin)")</f>
        <v>Necrons - wakened Dynasty (Keyradin)</v>
      </c>
    </row>
    <row r="56" outlineLevel="1">
      <c r="A56" s="45" t="s">
        <v>114</v>
      </c>
      <c r="B56" s="46" t="s">
        <v>59</v>
      </c>
      <c r="C56" s="53" t="s">
        <v>106</v>
      </c>
      <c r="D56" s="48"/>
      <c r="E56" s="49" t="str">
        <f>IFERROR(__xludf.DUMMYFUNCTION("""COMPUTED_VALUE"""),"Ork - War Horde (LouisC)")</f>
        <v>Ork - War Horde (LouisC)</v>
      </c>
      <c r="F56" s="50"/>
      <c r="H56" s="10" t="str">
        <f>IFERROR(__xludf.DUMMYFUNCTION("""COMPUTED_VALUE"""),"Necrons (AtadiloTho Jérome)")</f>
        <v>Necrons (AtadiloTho Jérome)</v>
      </c>
      <c r="I56" s="10" t="str">
        <f>IFERROR(__xludf.DUMMYFUNCTION("""COMPUTED_VALUE"""),"Ork - War Horde (LouisC)")</f>
        <v>Ork - War Horde (LouisC)</v>
      </c>
      <c r="J56" s="10" t="str">
        <f>IFERROR(__xludf.DUMMYFUNCTION("""COMPUTED_VALUE"""),"Ork - War Horde (LouisC)")</f>
        <v>Ork - War Horde (LouisC)</v>
      </c>
    </row>
    <row r="57" outlineLevel="1">
      <c r="A57" s="45" t="s">
        <v>114</v>
      </c>
      <c r="B57" s="46" t="s">
        <v>57</v>
      </c>
      <c r="C57" s="53" t="s">
        <v>107</v>
      </c>
      <c r="D57" s="48"/>
      <c r="E57" s="49"/>
      <c r="F57" s="50"/>
      <c r="H57" s="10" t="str">
        <f>IFERROR(__xludf.DUMMYFUNCTION("""COMPUTED_VALUE"""),"Tousand sons (Xeroxjager Antoine)")</f>
        <v>Tousand sons (Xeroxjager Antoine)</v>
      </c>
      <c r="I57" s="10" t="str">
        <f>IFERROR(__xludf.DUMMYFUNCTION("""COMPUTED_VALUE"""),"Death Guard - Virulent Vectorium (Urknar)")</f>
        <v>Death Guard - Virulent Vectorium (Urknar)</v>
      </c>
      <c r="J57" s="10" t="str">
        <f>IFERROR(__xludf.DUMMYFUNCTION("""COMPUTED_VALUE"""),"Death Guard - Virulent Vectorium (Urknar)")</f>
        <v>Death Guard - Virulent Vectorium (Urknar)</v>
      </c>
    </row>
    <row r="58" outlineLevel="1">
      <c r="A58" s="1"/>
      <c r="B58" s="1"/>
      <c r="C58" s="1"/>
      <c r="D58" s="48"/>
      <c r="E58" s="49"/>
      <c r="F58" s="50"/>
      <c r="H58" s="10" t="str">
        <f>IFERROR(__xludf.DUMMYFUNCTION("""COMPUTED_VALUE"""),"Astra Militarum (Punkachien Marc)")</f>
        <v>Astra Militarum (Punkachien Marc)</v>
      </c>
      <c r="I58" s="10"/>
      <c r="J58" s="10"/>
    </row>
    <row r="59" outlineLevel="1">
      <c r="A59" s="1"/>
      <c r="B59" s="1"/>
      <c r="C59" s="1"/>
      <c r="D59" s="48"/>
      <c r="E59" s="49"/>
      <c r="F59" s="50"/>
    </row>
    <row r="60" outlineLevel="1">
      <c r="H60" s="16" t="s">
        <v>93</v>
      </c>
      <c r="I60" s="16" t="s">
        <v>93</v>
      </c>
      <c r="J60" s="16" t="s">
        <v>93</v>
      </c>
    </row>
    <row r="61" outlineLevel="1"/>
    <row r="62" outlineLevel="1"/>
    <row r="63" outlineLevel="1">
      <c r="A63" s="39" t="s">
        <v>116</v>
      </c>
    </row>
    <row r="64" outlineLevel="1"/>
    <row r="65" outlineLevel="1"/>
    <row r="68">
      <c r="A68" s="14" t="s">
        <v>117</v>
      </c>
    </row>
    <row r="70">
      <c r="A70" s="59" t="s">
        <v>118</v>
      </c>
      <c r="B70" s="16" t="s">
        <v>8</v>
      </c>
    </row>
    <row r="72">
      <c r="C72" s="60" t="s">
        <v>119</v>
      </c>
      <c r="D72" s="41" t="s">
        <v>120</v>
      </c>
      <c r="E72" s="41" t="s">
        <v>121</v>
      </c>
      <c r="F72" s="41" t="s">
        <v>122</v>
      </c>
    </row>
    <row r="73">
      <c r="A73" s="61" t="s">
        <v>123</v>
      </c>
      <c r="B73" s="46" t="str">
        <f>B24</f>
        <v>Custodes - Talons of Emperor (LeMoff)</v>
      </c>
      <c r="C73" s="53" t="s">
        <v>106</v>
      </c>
      <c r="D73" s="62">
        <v>0.0</v>
      </c>
      <c r="E73" s="62">
        <v>27.0</v>
      </c>
      <c r="F73" s="63">
        <f>IF(D73&gt;D74,2,if(D73&lt;D74,0,1))</f>
        <v>0</v>
      </c>
    </row>
    <row r="74">
      <c r="A74" s="31"/>
      <c r="B74" s="52" t="str">
        <f>IFERROR(__xludf.DUMMYFUNCTION("FILTER(B25:B26,C25:C26=""Oui"")"),"Tyranides (El_MoZo Morgan)")</f>
        <v>Tyranides (El_MoZo Morgan)</v>
      </c>
      <c r="C74" s="53" t="s">
        <v>107</v>
      </c>
      <c r="D74" s="62">
        <v>20.0</v>
      </c>
      <c r="E74" s="62">
        <v>80.0</v>
      </c>
      <c r="F74" s="64">
        <f>2-F73</f>
        <v>2</v>
      </c>
    </row>
    <row r="75">
      <c r="A75" s="65" t="s">
        <v>124</v>
      </c>
      <c r="B75" s="53" t="s">
        <v>125</v>
      </c>
      <c r="F75" s="29"/>
    </row>
    <row r="76">
      <c r="A76" s="61" t="s">
        <v>123</v>
      </c>
      <c r="B76" s="52" t="str">
        <f>B34</f>
        <v>T au (DoubleRation David)</v>
      </c>
      <c r="C76" s="53" t="s">
        <v>106</v>
      </c>
      <c r="D76" s="62">
        <v>18.0</v>
      </c>
      <c r="E76" s="62">
        <v>69.0</v>
      </c>
      <c r="F76" s="64">
        <f>IF(D76&gt;D77,2,if(D76&lt;D77,0,1))</f>
        <v>2</v>
      </c>
    </row>
    <row r="77">
      <c r="A77" s="31"/>
      <c r="B77" s="46" t="str">
        <f>IFERROR(__xludf.DUMMYFUNCTION("FILTER(B35:B36,C35:C36=""Oui"")"),"Votann - Hearthband (Pastabolo)")</f>
        <v>Votann - Hearthband (Pastabolo)</v>
      </c>
      <c r="C77" s="53" t="s">
        <v>107</v>
      </c>
      <c r="D77" s="62">
        <v>2.0</v>
      </c>
      <c r="E77" s="62">
        <v>24.0</v>
      </c>
      <c r="F77" s="63">
        <f>2-F76</f>
        <v>0</v>
      </c>
    </row>
    <row r="78">
      <c r="A78" s="65" t="s">
        <v>124</v>
      </c>
      <c r="B78" s="53" t="s">
        <v>125</v>
      </c>
      <c r="F78" s="29"/>
    </row>
    <row r="79">
      <c r="A79" s="61" t="s">
        <v>123</v>
      </c>
      <c r="B79" s="46" t="str">
        <f>B45</f>
        <v>Ultramarines - Gladius (Uma)</v>
      </c>
      <c r="C79" s="53" t="s">
        <v>106</v>
      </c>
      <c r="D79" s="62">
        <v>3.0</v>
      </c>
      <c r="E79" s="62">
        <v>48.0</v>
      </c>
      <c r="F79" s="63">
        <f>IF(D79&gt;D80,2,if(D79&lt;D80,0,1))</f>
        <v>0</v>
      </c>
    </row>
    <row r="80">
      <c r="A80" s="31"/>
      <c r="B80" s="52" t="str">
        <f>IFERROR(__xludf.DUMMYFUNCTION("FILTER(B46:B47,C46:C47=""Oui"")"),"Dark Angel Gladius (Pharn Jonathan)")</f>
        <v>Dark Angel Gladius (Pharn Jonathan)</v>
      </c>
      <c r="C80" s="53" t="s">
        <v>107</v>
      </c>
      <c r="D80" s="62">
        <v>17.0</v>
      </c>
      <c r="E80" s="62">
        <v>88.0</v>
      </c>
      <c r="F80" s="64">
        <f>2-F79</f>
        <v>2</v>
      </c>
    </row>
    <row r="81">
      <c r="A81" s="65" t="s">
        <v>124</v>
      </c>
      <c r="B81" s="53" t="s">
        <v>125</v>
      </c>
      <c r="F81" s="29"/>
    </row>
    <row r="82">
      <c r="A82" s="61" t="s">
        <v>123</v>
      </c>
      <c r="B82" s="52" t="str">
        <f>B55</f>
        <v>Astra Militarum (Punkachien Marc)</v>
      </c>
      <c r="C82" s="53" t="s">
        <v>106</v>
      </c>
      <c r="D82" s="62">
        <v>5.0</v>
      </c>
      <c r="E82" s="62">
        <v>39.0</v>
      </c>
      <c r="F82" s="64">
        <f>IF(D82&gt;D83,2,if(D82&lt;D83,0,1))</f>
        <v>0</v>
      </c>
    </row>
    <row r="83">
      <c r="A83" s="31"/>
      <c r="B83" s="46" t="str">
        <f>IFERROR(__xludf.DUMMYFUNCTION("FILTER(B56:B57,C56:C57=""Oui"")"),"Death Guard - Virulent Vectorium (Urknar)")</f>
        <v>Death Guard - Virulent Vectorium (Urknar)</v>
      </c>
      <c r="C83" s="53" t="s">
        <v>107</v>
      </c>
      <c r="D83" s="62">
        <v>15.0</v>
      </c>
      <c r="E83" s="62">
        <v>67.0</v>
      </c>
      <c r="F83" s="63">
        <f>2-F82</f>
        <v>2</v>
      </c>
    </row>
    <row r="84">
      <c r="A84" s="65" t="s">
        <v>124</v>
      </c>
      <c r="B84" s="53" t="s">
        <v>125</v>
      </c>
      <c r="F84" s="29"/>
    </row>
    <row r="85">
      <c r="A85" s="14" t="s">
        <v>126</v>
      </c>
      <c r="F85" s="29"/>
    </row>
    <row r="86">
      <c r="A86" s="61" t="s">
        <v>123</v>
      </c>
      <c r="B86" s="46" t="str">
        <f>IFERROR(__xludf.DUMMYFUNCTION("FILTER(B56:B57,C56:C57=""Non"")"),"Ork - War Horde (LouisC)")</f>
        <v>Ork - War Horde (LouisC)</v>
      </c>
      <c r="C86" s="53" t="s">
        <v>106</v>
      </c>
      <c r="D86" s="62">
        <v>20.0</v>
      </c>
      <c r="E86" s="62">
        <v>100.0</v>
      </c>
      <c r="F86" s="63">
        <f>IF(D86&gt;D87,2,if(D86&lt;D87,0,1))</f>
        <v>2</v>
      </c>
    </row>
    <row r="87">
      <c r="A87" s="31"/>
      <c r="B87" s="52" t="str">
        <f>IFERROR(__xludf.DUMMYFUNCTION("FILTER(B46:B47,C46:C47=""Non"")"),"Necrons (AtadiloTho Jérome)")</f>
        <v>Necrons (AtadiloTho Jérome)</v>
      </c>
      <c r="C87" s="53" t="s">
        <v>107</v>
      </c>
      <c r="D87" s="62">
        <v>0.0</v>
      </c>
      <c r="E87" s="62">
        <v>22.0</v>
      </c>
      <c r="F87" s="64">
        <f>2-F86</f>
        <v>0</v>
      </c>
    </row>
    <row r="88">
      <c r="A88" s="65" t="s">
        <v>124</v>
      </c>
      <c r="B88" s="53" t="s">
        <v>125</v>
      </c>
      <c r="F88" s="29"/>
    </row>
    <row r="89">
      <c r="A89" s="14" t="s">
        <v>127</v>
      </c>
      <c r="F89" s="29"/>
    </row>
    <row r="90">
      <c r="A90" s="61" t="s">
        <v>123</v>
      </c>
      <c r="B90" s="46" t="str">
        <f>IFERROR(__xludf.DUMMYFUNCTION("filter(H45:H48,H45:H48&lt;&gt;B79,H45:H48&lt;&gt;B83,H45:H48&lt;&gt;B86)"),"Necrons - wakened Dynasty (Keyradin)")</f>
        <v>Necrons - wakened Dynasty (Keyradin)</v>
      </c>
      <c r="C90" s="53" t="s">
        <v>106</v>
      </c>
      <c r="D90" s="62">
        <v>10.0</v>
      </c>
      <c r="E90" s="62">
        <v>64.0</v>
      </c>
      <c r="F90" s="63">
        <f>IF(D90&gt;D91,2,if(D90&lt;D91,0,1))</f>
        <v>1</v>
      </c>
    </row>
    <row r="91">
      <c r="A91" s="31"/>
      <c r="B91" s="52" t="str">
        <f>IFERROR(__xludf.DUMMYFUNCTION("FILTER(H55:H58,H55:H58&lt;&gt;B80,H55:H58&lt;&gt;B82,H55:H58&lt;&gt;B87)"),"Tousand sons (Xeroxjager Antoine)")</f>
        <v>Tousand sons (Xeroxjager Antoine)</v>
      </c>
      <c r="C91" s="53" t="s">
        <v>107</v>
      </c>
      <c r="D91" s="62">
        <v>10.0</v>
      </c>
      <c r="E91" s="62">
        <v>56.0</v>
      </c>
      <c r="F91" s="64">
        <f>2-F90</f>
        <v>1</v>
      </c>
    </row>
    <row r="92">
      <c r="A92" s="65" t="s">
        <v>124</v>
      </c>
      <c r="B92" s="53" t="s">
        <v>125</v>
      </c>
    </row>
    <row r="94">
      <c r="B94" s="71" t="s">
        <v>8</v>
      </c>
      <c r="C94" s="67"/>
      <c r="D94" s="68">
        <f t="shared" ref="D94:F94" si="1">D74+D76+D80+D82+D87+D91</f>
        <v>70</v>
      </c>
      <c r="E94" s="68">
        <f t="shared" si="1"/>
        <v>354</v>
      </c>
      <c r="F94" s="68">
        <f t="shared" si="1"/>
        <v>7</v>
      </c>
    </row>
    <row r="95">
      <c r="B95" s="72" t="s">
        <v>35</v>
      </c>
      <c r="C95" s="67"/>
      <c r="D95" s="70">
        <f t="shared" ref="D95:F95" si="2">D73+D77+D79+D83+D86+D90</f>
        <v>50</v>
      </c>
      <c r="E95" s="70">
        <f t="shared" si="2"/>
        <v>330</v>
      </c>
      <c r="F95" s="70">
        <f t="shared" si="2"/>
        <v>5</v>
      </c>
    </row>
  </sheetData>
  <mergeCells count="6">
    <mergeCell ref="A73:A74"/>
    <mergeCell ref="A76:A77"/>
    <mergeCell ref="A79:A80"/>
    <mergeCell ref="A82:A83"/>
    <mergeCell ref="A86:A87"/>
    <mergeCell ref="A90:A91"/>
  </mergeCells>
  <conditionalFormatting sqref="B5:I10 B14:G19">
    <cfRule type="colorScale" priority="1">
      <colorScale>
        <cfvo type="min"/>
        <cfvo type="formula" val="3"/>
        <cfvo type="max"/>
        <color rgb="FFFF0000"/>
        <color rgb="FFFFFF00"/>
        <color rgb="FF57BB8A"/>
      </colorScale>
    </cfRule>
  </conditionalFormatting>
  <dataValidations>
    <dataValidation type="list" allowBlank="1" showErrorMessage="1" sqref="B24">
      <formula1>$H$24:$H$30</formula1>
    </dataValidation>
    <dataValidation type="list" allowBlank="1" showErrorMessage="1" sqref="B70">
      <formula1>'Ronde 1'!$D$1:$D$2</formula1>
    </dataValidation>
    <dataValidation type="list" allowBlank="1" showErrorMessage="1" sqref="C25:C26 C35:C36 C46:C47 C56:C57 C73:C74 C76:C77 C79:C80 C82:C83 C86:C87 C90:C91">
      <formula1>" 🚧 Rien,Oui,Non"</formula1>
    </dataValidation>
    <dataValidation type="list" allowBlank="1" showErrorMessage="1" sqref="B1">
      <formula1>"1,2,3,4,5"</formula1>
    </dataValidation>
    <dataValidation type="list" allowBlank="1" showErrorMessage="1" sqref="B46">
      <formula1>'Ronde 1'!$I$45:$I$50</formula1>
    </dataValidation>
    <dataValidation type="list" allowBlank="1" showErrorMessage="1" sqref="B34">
      <formula1>'Ronde 1'!$H$34:$H$40</formula1>
    </dataValidation>
    <dataValidation type="list" allowBlank="1" showErrorMessage="1" sqref="B36">
      <formula1>$J$34:$J$40</formula1>
    </dataValidation>
    <dataValidation type="list" allowBlank="1" showErrorMessage="1" sqref="B25">
      <formula1>$I$24:$I$30</formula1>
    </dataValidation>
    <dataValidation type="list" allowBlank="1" showErrorMessage="1" sqref="B35">
      <formula1>$I$34:$I$40</formula1>
    </dataValidation>
    <dataValidation type="list" allowBlank="1" showErrorMessage="1" sqref="B56">
      <formula1>'Ronde 1'!$I$55:$I$60</formula1>
    </dataValidation>
    <dataValidation type="list" allowBlank="1" showErrorMessage="1" sqref="B75 B78 B81 B84 B88 B92">
      <formula1>"🚧,Layout 1,Layout 2,Layout 3,Layout 4,Layout 5,Layout 6"</formula1>
    </dataValidation>
    <dataValidation type="list" allowBlank="1" showErrorMessage="1" sqref="B55">
      <formula1>'Ronde 1'!$H$55:$H$60</formula1>
    </dataValidation>
    <dataValidation type="list" allowBlank="1" showErrorMessage="1" sqref="B26">
      <formula1>$J$24:$J$30</formula1>
    </dataValidation>
    <dataValidation type="list" allowBlank="1" showErrorMessage="1" sqref="B47">
      <formula1>'Ronde 1'!$J$45:$J$50</formula1>
    </dataValidation>
    <dataValidation type="list" allowBlank="1" showErrorMessage="1" sqref="B45">
      <formula1>$H$45:$H$50</formula1>
    </dataValidation>
    <dataValidation type="list" allowBlank="1" showErrorMessage="1" sqref="B57">
      <formula1>'Ronde 1'!$J$55:$J$60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13"/>
    <col customWidth="1" min="2" max="2" width="36.88"/>
    <col customWidth="1" min="3" max="3" width="10.38"/>
    <col customWidth="1" min="4" max="6" width="31.25"/>
    <col customWidth="1" min="7" max="7" width="54.0"/>
    <col customWidth="1" min="8" max="10" width="27.25"/>
  </cols>
  <sheetData>
    <row r="1">
      <c r="A1" s="2" t="s">
        <v>0</v>
      </c>
      <c r="B1" s="5">
        <v>2.0</v>
      </c>
      <c r="C1" s="2" t="s">
        <v>6</v>
      </c>
      <c r="D1" s="8" t="s">
        <v>8</v>
      </c>
      <c r="E1" s="2" t="s">
        <v>10</v>
      </c>
      <c r="F1" s="10" t="str">
        <f>IFERROR(__xludf.DUMMYFUNCTION("QUERY(Rosters!A13:G42,CONCATENATE(""select Col7  where Col1="",B1, ""limit 1""))"),"E - Take and Hold / Hammer and Anvil")</f>
        <v>E - Take and Hold / Hammer and Anvil</v>
      </c>
    </row>
    <row r="2">
      <c r="C2" s="2" t="s">
        <v>12</v>
      </c>
      <c r="D2" s="12" t="str">
        <f>IFERROR(__xludf.DUMMYFUNCTION("QUERY(Estimes!A3:J32,CONCATENATE(""select Col4  where Col1="",B1, ""limit 1""))"),"MTB")</f>
        <v>MTB</v>
      </c>
    </row>
    <row r="3" collapsed="1">
      <c r="A3" s="14" t="s">
        <v>21</v>
      </c>
      <c r="B3" s="16" t="s">
        <v>24</v>
      </c>
    </row>
    <row r="4" hidden="1" outlineLevel="1">
      <c r="A4" s="6"/>
      <c r="B4" s="1" t="str">
        <f>IFERROR(__xludf.DUMMYFUNCTION("QUERY(Estimes!E2:J2)"),"Dark Angel Gladius (Pharn Jonathan)")</f>
        <v>Dark Angel Gladius (Pharn Jonathan)</v>
      </c>
      <c r="C4" s="1" t="str">
        <f>IFERROR(__xludf.DUMMYFUNCTION("""COMPUTED_VALUE"""),"Necrons (AtadiloTho Jérome)")</f>
        <v>Necrons (AtadiloTho Jérome)</v>
      </c>
      <c r="D4" s="1" t="str">
        <f>IFERROR(__xludf.DUMMYFUNCTION("""COMPUTED_VALUE"""),"Tousand sons (Xeroxjager Antoine)")</f>
        <v>Tousand sons (Xeroxjager Antoine)</v>
      </c>
      <c r="E4" s="1" t="str">
        <f>IFERROR(__xludf.DUMMYFUNCTION("""COMPUTED_VALUE"""),"Tyranides (El_MoZo Morgan)")</f>
        <v>Tyranides (El_MoZo Morgan)</v>
      </c>
      <c r="F4" s="1" t="str">
        <f>IFERROR(__xludf.DUMMYFUNCTION("""COMPUTED_VALUE"""),"Astra Militarum (Punkachien Marc)")</f>
        <v>Astra Militarum (Punkachien Marc)</v>
      </c>
      <c r="G4" s="1" t="str">
        <f>IFERROR(__xludf.DUMMYFUNCTION("""COMPUTED_VALUE"""),"T au (DoubleRation David)")</f>
        <v>T au (DoubleRation David)</v>
      </c>
    </row>
    <row r="5" hidden="1" outlineLevel="1">
      <c r="A5" s="1" t="str">
        <f>IFERROR(__xludf.DUMMYFUNCTION("QUERY(Estimes!A3:J32,CONCATENATE(""select Col2, Col5, Col6, Col7, Col8, Col9, Col10  where Col1="",B1))"),"Adeptus Mechanicus - HaloScreed (Andhrim)")</f>
        <v>Adeptus Mechanicus - HaloScreed (Andhrim)</v>
      </c>
      <c r="B5" s="25">
        <f>IFERROR(__xludf.DUMMYFUNCTION("""COMPUTED_VALUE"""),3.0)</f>
        <v>3</v>
      </c>
      <c r="C5" s="25">
        <f>IFERROR(__xludf.DUMMYFUNCTION("""COMPUTED_VALUE"""),5.0)</f>
        <v>5</v>
      </c>
      <c r="D5" s="25">
        <f>IFERROR(__xludf.DUMMYFUNCTION("""COMPUTED_VALUE"""),2.0)</f>
        <v>2</v>
      </c>
      <c r="E5" s="25">
        <f>IFERROR(__xludf.DUMMYFUNCTION("""COMPUTED_VALUE"""),2.0)</f>
        <v>2</v>
      </c>
      <c r="F5" s="25">
        <f>IFERROR(__xludf.DUMMYFUNCTION("""COMPUTED_VALUE"""),2.0)</f>
        <v>2</v>
      </c>
      <c r="G5" s="25">
        <f>IFERROR(__xludf.DUMMYFUNCTION("""COMPUTED_VALUE"""),3.0)</f>
        <v>3</v>
      </c>
      <c r="H5" s="29"/>
      <c r="I5" s="29"/>
    </row>
    <row r="6" hidden="1" outlineLevel="1">
      <c r="A6" s="1" t="str">
        <f>IFERROR(__xludf.DUMMYFUNCTION("""COMPUTED_VALUE"""),"Custodes - Shield Ost (Raphi)")</f>
        <v>Custodes - Shield Ost (Raphi)</v>
      </c>
      <c r="B6" s="25">
        <f>IFERROR(__xludf.DUMMYFUNCTION("""COMPUTED_VALUE"""),2.0)</f>
        <v>2</v>
      </c>
      <c r="C6" s="25">
        <f>IFERROR(__xludf.DUMMYFUNCTION("""COMPUTED_VALUE"""),3.0)</f>
        <v>3</v>
      </c>
      <c r="D6" s="25">
        <f>IFERROR(__xludf.DUMMYFUNCTION("""COMPUTED_VALUE"""),3.0)</f>
        <v>3</v>
      </c>
      <c r="E6" s="25">
        <f>IFERROR(__xludf.DUMMYFUNCTION("""COMPUTED_VALUE"""),5.0)</f>
        <v>5</v>
      </c>
      <c r="F6" s="25">
        <f>IFERROR(__xludf.DUMMYFUNCTION("""COMPUTED_VALUE"""),1.0)</f>
        <v>1</v>
      </c>
      <c r="G6" s="25">
        <f>IFERROR(__xludf.DUMMYFUNCTION("""COMPUTED_VALUE"""),4.0)</f>
        <v>4</v>
      </c>
      <c r="H6" s="29"/>
      <c r="I6" s="29"/>
    </row>
    <row r="7" hidden="1" outlineLevel="1">
      <c r="A7" s="1" t="str">
        <f>IFERROR(__xludf.DUMMYFUNCTION("""COMPUTED_VALUE"""),"Chaos Space Marines - uron s Marauders (Kthelmir)")</f>
        <v>Chaos Space Marines - uron s Marauders (Kthelmir)</v>
      </c>
      <c r="B7" s="25">
        <f>IFERROR(__xludf.DUMMYFUNCTION("""COMPUTED_VALUE"""),4.0)</f>
        <v>4</v>
      </c>
      <c r="C7" s="25">
        <f>IFERROR(__xludf.DUMMYFUNCTION("""COMPUTED_VALUE"""),4.0)</f>
        <v>4</v>
      </c>
      <c r="D7" s="25">
        <f>IFERROR(__xludf.DUMMYFUNCTION("""COMPUTED_VALUE"""),3.0)</f>
        <v>3</v>
      </c>
      <c r="E7" s="25">
        <f>IFERROR(__xludf.DUMMYFUNCTION("""COMPUTED_VALUE"""),5.0)</f>
        <v>5</v>
      </c>
      <c r="F7" s="25">
        <f>IFERROR(__xludf.DUMMYFUNCTION("""COMPUTED_VALUE"""),3.0)</f>
        <v>3</v>
      </c>
      <c r="G7" s="25">
        <f>IFERROR(__xludf.DUMMYFUNCTION("""COMPUTED_VALUE"""),2.0)</f>
        <v>2</v>
      </c>
      <c r="H7" s="29"/>
      <c r="I7" s="29"/>
    </row>
    <row r="8" hidden="1" outlineLevel="1">
      <c r="A8" s="1" t="str">
        <f>IFERROR(__xludf.DUMMYFUNCTION("""COMPUTED_VALUE"""),"Necrons - wakened Dynasty (N4sgull)")</f>
        <v>Necrons - wakened Dynasty (N4sgull)</v>
      </c>
      <c r="B8" s="25">
        <f>IFERROR(__xludf.DUMMYFUNCTION("""COMPUTED_VALUE"""),4.0)</f>
        <v>4</v>
      </c>
      <c r="C8" s="25">
        <f>IFERROR(__xludf.DUMMYFUNCTION("""COMPUTED_VALUE"""),3.0)</f>
        <v>3</v>
      </c>
      <c r="D8" s="25">
        <f>IFERROR(__xludf.DUMMYFUNCTION("""COMPUTED_VALUE"""),4.0)</f>
        <v>4</v>
      </c>
      <c r="E8" s="25">
        <f>IFERROR(__xludf.DUMMYFUNCTION("""COMPUTED_VALUE"""),3.0)</f>
        <v>3</v>
      </c>
      <c r="F8" s="25">
        <f>IFERROR(__xludf.DUMMYFUNCTION("""COMPUTED_VALUE"""),3.0)</f>
        <v>3</v>
      </c>
      <c r="G8" s="25">
        <f>IFERROR(__xludf.DUMMYFUNCTION("""COMPUTED_VALUE"""),2.0)</f>
        <v>2</v>
      </c>
      <c r="H8" s="29"/>
      <c r="I8" s="29"/>
    </row>
    <row r="9" hidden="1" outlineLevel="1">
      <c r="A9" s="1" t="str">
        <f>IFERROR(__xludf.DUMMYFUNCTION("""COMPUTED_VALUE"""),"Tau - Mont ka (Z0rr0)")</f>
        <v>Tau - Mont ka (Z0rr0)</v>
      </c>
      <c r="B9" s="25">
        <f>IFERROR(__xludf.DUMMYFUNCTION("""COMPUTED_VALUE"""),2.0)</f>
        <v>2</v>
      </c>
      <c r="C9" s="25">
        <f>IFERROR(__xludf.DUMMYFUNCTION("""COMPUTED_VALUE"""),3.0)</f>
        <v>3</v>
      </c>
      <c r="D9" s="25">
        <f>IFERROR(__xludf.DUMMYFUNCTION("""COMPUTED_VALUE"""),4.0)</f>
        <v>4</v>
      </c>
      <c r="E9" s="25">
        <f>IFERROR(__xludf.DUMMYFUNCTION("""COMPUTED_VALUE"""),3.0)</f>
        <v>3</v>
      </c>
      <c r="F9" s="25">
        <f>IFERROR(__xludf.DUMMYFUNCTION("""COMPUTED_VALUE"""),3.0)</f>
        <v>3</v>
      </c>
      <c r="G9" s="25">
        <f>IFERROR(__xludf.DUMMYFUNCTION("""COMPUTED_VALUE"""),3.0)</f>
        <v>3</v>
      </c>
      <c r="H9" s="29"/>
      <c r="I9" s="29"/>
    </row>
    <row r="10" hidden="1" outlineLevel="1">
      <c r="A10" s="1" t="str">
        <f>IFERROR(__xludf.DUMMYFUNCTION("""COMPUTED_VALUE"""),"Imperial Knights -  Questoris Companion (Jintoh)")</f>
        <v>Imperial Knights -  Questoris Companion (Jintoh)</v>
      </c>
      <c r="B10" s="25">
        <f>IFERROR(__xludf.DUMMYFUNCTION("""COMPUTED_VALUE"""),4.0)</f>
        <v>4</v>
      </c>
      <c r="C10" s="25">
        <f>IFERROR(__xludf.DUMMYFUNCTION("""COMPUTED_VALUE"""),4.0)</f>
        <v>4</v>
      </c>
      <c r="D10" s="25">
        <f>IFERROR(__xludf.DUMMYFUNCTION("""COMPUTED_VALUE"""),3.0)</f>
        <v>3</v>
      </c>
      <c r="E10" s="25">
        <f>IFERROR(__xludf.DUMMYFUNCTION("""COMPUTED_VALUE"""),3.0)</f>
        <v>3</v>
      </c>
      <c r="F10" s="25">
        <f>IFERROR(__xludf.DUMMYFUNCTION("""COMPUTED_VALUE"""),3.0)</f>
        <v>3</v>
      </c>
      <c r="G10" s="25">
        <f>IFERROR(__xludf.DUMMYFUNCTION("""COMPUTED_VALUE"""),2.0)</f>
        <v>2</v>
      </c>
      <c r="H10" s="29"/>
      <c r="I10" s="29"/>
    </row>
    <row r="11" hidden="1" outlineLevel="1"/>
    <row r="12" hidden="1" outlineLevel="1">
      <c r="A12" s="16" t="s">
        <v>39</v>
      </c>
    </row>
    <row r="13" hidden="1" outlineLevel="1">
      <c r="A13" s="1" t="str">
        <f t="array" ref="A13:G19">TRANSPOSE(A4:G10)</f>
        <v/>
      </c>
      <c r="B13" s="1" t="s">
        <v>128</v>
      </c>
      <c r="C13" s="1" t="s">
        <v>129</v>
      </c>
      <c r="D13" s="1" t="s">
        <v>130</v>
      </c>
      <c r="E13" s="1" t="s">
        <v>131</v>
      </c>
      <c r="F13" s="1" t="s">
        <v>132</v>
      </c>
      <c r="G13" s="1" t="s">
        <v>133</v>
      </c>
    </row>
    <row r="14" hidden="1" outlineLevel="1">
      <c r="A14" s="1" t="s">
        <v>48</v>
      </c>
      <c r="B14" s="25">
        <v>3.0</v>
      </c>
      <c r="C14" s="25">
        <v>2.0</v>
      </c>
      <c r="D14" s="25">
        <v>4.0</v>
      </c>
      <c r="E14" s="25">
        <v>4.0</v>
      </c>
      <c r="F14" s="25">
        <v>2.0</v>
      </c>
      <c r="G14" s="25">
        <v>4.0</v>
      </c>
    </row>
    <row r="15" hidden="1" outlineLevel="1">
      <c r="A15" s="1" t="s">
        <v>15</v>
      </c>
      <c r="B15" s="25">
        <v>5.0</v>
      </c>
      <c r="C15" s="25">
        <v>3.0</v>
      </c>
      <c r="D15" s="25">
        <v>4.0</v>
      </c>
      <c r="E15" s="25">
        <v>3.0</v>
      </c>
      <c r="F15" s="25">
        <v>3.0</v>
      </c>
      <c r="G15" s="25">
        <v>4.0</v>
      </c>
    </row>
    <row r="16" hidden="1" outlineLevel="1">
      <c r="A16" s="1" t="s">
        <v>16</v>
      </c>
      <c r="B16" s="25">
        <v>2.0</v>
      </c>
      <c r="C16" s="25">
        <v>3.0</v>
      </c>
      <c r="D16" s="25">
        <v>3.0</v>
      </c>
      <c r="E16" s="25">
        <v>4.0</v>
      </c>
      <c r="F16" s="25">
        <v>4.0</v>
      </c>
      <c r="G16" s="25">
        <v>3.0</v>
      </c>
    </row>
    <row r="17" hidden="1" outlineLevel="1">
      <c r="A17" s="1" t="s">
        <v>17</v>
      </c>
      <c r="B17" s="25">
        <v>2.0</v>
      </c>
      <c r="C17" s="25">
        <v>5.0</v>
      </c>
      <c r="D17" s="25">
        <v>5.0</v>
      </c>
      <c r="E17" s="25">
        <v>3.0</v>
      </c>
      <c r="F17" s="25">
        <v>3.0</v>
      </c>
      <c r="G17" s="25">
        <v>3.0</v>
      </c>
    </row>
    <row r="18" hidden="1" outlineLevel="1">
      <c r="A18" s="1" t="s">
        <v>18</v>
      </c>
      <c r="B18" s="25">
        <v>2.0</v>
      </c>
      <c r="C18" s="25">
        <v>1.0</v>
      </c>
      <c r="D18" s="25">
        <v>3.0</v>
      </c>
      <c r="E18" s="25">
        <v>3.0</v>
      </c>
      <c r="F18" s="25">
        <v>3.0</v>
      </c>
      <c r="G18" s="25">
        <v>3.0</v>
      </c>
    </row>
    <row r="19" hidden="1" outlineLevel="1">
      <c r="A19" s="1" t="s">
        <v>19</v>
      </c>
      <c r="B19" s="25">
        <v>3.0</v>
      </c>
      <c r="C19" s="25">
        <v>4.0</v>
      </c>
      <c r="D19" s="25">
        <v>2.0</v>
      </c>
      <c r="E19" s="25">
        <v>2.0</v>
      </c>
      <c r="F19" s="25">
        <v>3.0</v>
      </c>
      <c r="G19" s="25">
        <v>2.0</v>
      </c>
    </row>
    <row r="21" collapsed="1">
      <c r="A21" s="14" t="s">
        <v>66</v>
      </c>
      <c r="B21" s="16" t="s">
        <v>24</v>
      </c>
      <c r="I21" s="16"/>
      <c r="J21" s="16"/>
    </row>
    <row r="22" hidden="1" outlineLevel="1">
      <c r="A22" s="39" t="s">
        <v>69</v>
      </c>
      <c r="C22" s="40"/>
      <c r="I22" s="16"/>
      <c r="J22" s="16"/>
    </row>
    <row r="23" hidden="1" outlineLevel="1">
      <c r="C23" s="41" t="s">
        <v>71</v>
      </c>
      <c r="D23" s="42" t="s">
        <v>72</v>
      </c>
      <c r="E23" s="43" t="s">
        <v>73</v>
      </c>
      <c r="F23" s="44" t="s">
        <v>77</v>
      </c>
      <c r="H23" s="12" t="s">
        <v>78</v>
      </c>
      <c r="I23" s="8" t="s">
        <v>80</v>
      </c>
      <c r="J23" s="8" t="s">
        <v>81</v>
      </c>
    </row>
    <row r="24" hidden="1" outlineLevel="1">
      <c r="A24" s="45" t="s">
        <v>82</v>
      </c>
      <c r="B24" s="46" t="s">
        <v>132</v>
      </c>
      <c r="C24" s="41"/>
      <c r="D24" s="48" t="str">
        <f>IFERROR(__xludf.DUMMYFUNCTION("QUERY($A$14:$G$19, CONCATENATE(""Select Col1 where Col"",match(B24,$A$4:$A$10,0),""&gt;3 and not  Col1 contains '"",$B$76,""'""),0)"),"Tousand sons (Xeroxjager Antoine)")</f>
        <v>Tousand sons (Xeroxjager Antoine)</v>
      </c>
      <c r="E24" s="49" t="str">
        <f>IFERROR(__xludf.DUMMYFUNCTION("QUERY($A$14:$G$19, CONCATENATE(""Select Col1 where Col"",match(B24,$A$4:$A$10,0),""=3 and not  Col1 contains '"",$B$76,""'""),0)"),"Necrons (AtadiloTho Jérome)")</f>
        <v>Necrons (AtadiloTho Jérome)</v>
      </c>
      <c r="F24" s="50" t="str">
        <f>IFERROR(__xludf.DUMMYFUNCTION("QUERY($A$14:$G$19, CONCATENATE(""Select Col1 where Col"",match(B24,$A$4:$A$10,0),""&lt;3 and not  Col1 contains '"",$B$76,""'""),0)"),"Dark Angel Gladius (Pharn Jonathan)")</f>
        <v>Dark Angel Gladius (Pharn Jonathan)</v>
      </c>
      <c r="H24" s="10" t="str">
        <f>IFERROR(__xludf.DUMMYFUNCTION("QUERY(A5:A10)"),"Adeptus Mechanicus - HaloScreed (Andhrim)")</f>
        <v>Adeptus Mechanicus - HaloScreed (Andhrim)</v>
      </c>
      <c r="I24" s="10" t="str">
        <f>IFERROR(__xludf.DUMMYFUNCTION("filter(H34:H39,H34:H39&lt;&gt;B34)"),"Dark Angel Gladius (Pharn Jonathan)")</f>
        <v>Dark Angel Gladius (Pharn Jonathan)</v>
      </c>
      <c r="J24" s="10" t="str">
        <f>IFERROR(__xludf.DUMMYFUNCTION("filter(H34:H39,H34:H39&lt;&gt;B34,H34:H39&lt;&gt;B25)"),"Dark Angel Gladius (Pharn Jonathan)")</f>
        <v>Dark Angel Gladius (Pharn Jonathan)</v>
      </c>
    </row>
    <row r="25" hidden="1" outlineLevel="1">
      <c r="A25" s="51" t="s">
        <v>104</v>
      </c>
      <c r="B25" s="52" t="s">
        <v>16</v>
      </c>
      <c r="C25" s="53" t="s">
        <v>106</v>
      </c>
      <c r="D25" s="48"/>
      <c r="E25" s="49" t="str">
        <f>IFERROR(__xludf.DUMMYFUNCTION("""COMPUTED_VALUE"""),"Tyranides (El_MoZo Morgan)")</f>
        <v>Tyranides (El_MoZo Morgan)</v>
      </c>
      <c r="F25" s="50"/>
      <c r="H25" s="10" t="str">
        <f>IFERROR(__xludf.DUMMYFUNCTION("""COMPUTED_VALUE"""),"Custodes - Shield Ost (Raphi)")</f>
        <v>Custodes - Shield Ost (Raphi)</v>
      </c>
      <c r="I25" s="10" t="str">
        <f>IFERROR(__xludf.DUMMYFUNCTION("""COMPUTED_VALUE"""),"Necrons (AtadiloTho Jérome)")</f>
        <v>Necrons (AtadiloTho Jérome)</v>
      </c>
      <c r="J25" s="10" t="str">
        <f>IFERROR(__xludf.DUMMYFUNCTION("""COMPUTED_VALUE"""),"Necrons (AtadiloTho Jérome)")</f>
        <v>Necrons (AtadiloTho Jérome)</v>
      </c>
    </row>
    <row r="26" hidden="1" outlineLevel="1">
      <c r="A26" s="51" t="s">
        <v>105</v>
      </c>
      <c r="B26" s="52" t="s">
        <v>17</v>
      </c>
      <c r="C26" s="53" t="s">
        <v>107</v>
      </c>
      <c r="D26" s="48"/>
      <c r="E26" s="49" t="str">
        <f>IFERROR(__xludf.DUMMYFUNCTION("""COMPUTED_VALUE"""),"Astra Militarum (Punkachien Marc)")</f>
        <v>Astra Militarum (Punkachien Marc)</v>
      </c>
      <c r="F26" s="50"/>
      <c r="H26" s="10" t="str">
        <f>IFERROR(__xludf.DUMMYFUNCTION("""COMPUTED_VALUE"""),"Chaos Space Marines - uron s Marauders (Kthelmir)")</f>
        <v>Chaos Space Marines - uron s Marauders (Kthelmir)</v>
      </c>
      <c r="I26" s="10" t="str">
        <f>IFERROR(__xludf.DUMMYFUNCTION("""COMPUTED_VALUE"""),"Tousand sons (Xeroxjager Antoine)")</f>
        <v>Tousand sons (Xeroxjager Antoine)</v>
      </c>
      <c r="J26" s="10" t="str">
        <f>IFERROR(__xludf.DUMMYFUNCTION("""COMPUTED_VALUE"""),"Tyranides (El_MoZo Morgan)")</f>
        <v>Tyranides (El_MoZo Morgan)</v>
      </c>
    </row>
    <row r="27" hidden="1" outlineLevel="1">
      <c r="A27" s="1"/>
      <c r="B27" s="1"/>
      <c r="C27" s="1"/>
      <c r="D27" s="48"/>
      <c r="E27" s="49"/>
      <c r="F27" s="50"/>
      <c r="H27" s="10" t="str">
        <f>IFERROR(__xludf.DUMMYFUNCTION("""COMPUTED_VALUE"""),"Necrons - wakened Dynasty (N4sgull)")</f>
        <v>Necrons - wakened Dynasty (N4sgull)</v>
      </c>
      <c r="I27" s="10" t="str">
        <f>IFERROR(__xludf.DUMMYFUNCTION("""COMPUTED_VALUE"""),"Tyranides (El_MoZo Morgan)")</f>
        <v>Tyranides (El_MoZo Morgan)</v>
      </c>
      <c r="J27" s="10" t="str">
        <f>IFERROR(__xludf.DUMMYFUNCTION("""COMPUTED_VALUE"""),"Astra Militarum (Punkachien Marc)")</f>
        <v>Astra Militarum (Punkachien Marc)</v>
      </c>
    </row>
    <row r="28" hidden="1" outlineLevel="1">
      <c r="A28" s="1"/>
      <c r="B28" s="1"/>
      <c r="C28" s="1"/>
      <c r="D28" s="48"/>
      <c r="E28" s="49"/>
      <c r="F28" s="50"/>
      <c r="H28" s="10" t="str">
        <f>IFERROR(__xludf.DUMMYFUNCTION("""COMPUTED_VALUE"""),"Tau - Mont ka (Z0rr0)")</f>
        <v>Tau - Mont ka (Z0rr0)</v>
      </c>
      <c r="I28" s="10" t="str">
        <f>IFERROR(__xludf.DUMMYFUNCTION("""COMPUTED_VALUE"""),"Astra Militarum (Punkachien Marc)")</f>
        <v>Astra Militarum (Punkachien Marc)</v>
      </c>
    </row>
    <row r="29" hidden="1" outlineLevel="1">
      <c r="H29" s="10" t="str">
        <f>IFERROR(__xludf.DUMMYFUNCTION("""COMPUTED_VALUE"""),"Imperial Knights -  Questoris Companion (Jintoh)")</f>
        <v>Imperial Knights -  Questoris Companion (Jintoh)</v>
      </c>
    </row>
    <row r="30" hidden="1" outlineLevel="1">
      <c r="H30" s="16" t="s">
        <v>93</v>
      </c>
      <c r="I30" s="16" t="s">
        <v>93</v>
      </c>
      <c r="J30" s="16" t="s">
        <v>93</v>
      </c>
    </row>
    <row r="31" hidden="1" outlineLevel="1"/>
    <row r="32" hidden="1" outlineLevel="1">
      <c r="A32" s="39" t="s">
        <v>108</v>
      </c>
      <c r="C32" s="40"/>
      <c r="I32" s="16"/>
      <c r="J32" s="16"/>
    </row>
    <row r="33" hidden="1" outlineLevel="1">
      <c r="C33" s="41" t="s">
        <v>71</v>
      </c>
      <c r="D33" s="54" t="s">
        <v>72</v>
      </c>
      <c r="E33" s="55" t="s">
        <v>73</v>
      </c>
      <c r="F33" s="56" t="s">
        <v>77</v>
      </c>
      <c r="H33" s="8" t="s">
        <v>109</v>
      </c>
      <c r="I33" s="12" t="s">
        <v>110</v>
      </c>
      <c r="J33" s="12" t="s">
        <v>111</v>
      </c>
    </row>
    <row r="34" hidden="1" outlineLevel="1">
      <c r="A34" s="57" t="s">
        <v>112</v>
      </c>
      <c r="B34" s="8" t="s">
        <v>19</v>
      </c>
      <c r="C34" s="41"/>
      <c r="D34" s="48" t="str">
        <f>IFERROR(__xludf.DUMMYFUNCTION("QUERY($A$5:$G$10, CONCATENATE(""Select Col1 where Col"",match(B34,$A$13:$A$19,0),""&gt;3 and not  Col1 contains '"",$B$73,""'""),0)"),"Custodes - Shield Ost (Raphi)")</f>
        <v>Custodes - Shield Ost (Raphi)</v>
      </c>
      <c r="E34" s="49" t="str">
        <f>IFERROR(__xludf.DUMMYFUNCTION("QUERY($A$5:$G$10, CONCATENATE(""Select Col1 where Col"",match(B34,$A$13:$A$19,0),""=3 and not  Col1 contains '"",$B$73,""'""),0)"),"Adeptus Mechanicus - HaloScreed (Andhrim)")</f>
        <v>Adeptus Mechanicus - HaloScreed (Andhrim)</v>
      </c>
      <c r="F34" s="50" t="str">
        <f>IFERROR(__xludf.DUMMYFUNCTION("QUERY($A$5:$G$10, CONCATENATE(""Select Col1 where Col"",match(B34,$A$13:$A$19,0),""&lt;3 and not  Col1 contains '"",$B$73,""'""),0)"),"Chaos Space Marines - uron s Marauders (Kthelmir)")</f>
        <v>Chaos Space Marines - uron s Marauders (Kthelmir)</v>
      </c>
      <c r="H34" s="10" t="str">
        <f>IFERROR(__xludf.DUMMYFUNCTION("QUERY(A14:A19)"),"Dark Angel Gladius (Pharn Jonathan)")</f>
        <v>Dark Angel Gladius (Pharn Jonathan)</v>
      </c>
      <c r="I34" s="10" t="str">
        <f>IFERROR(__xludf.DUMMYFUNCTION("filter(H24:H29,H24:H29&lt;&gt;B24)"),"Adeptus Mechanicus - HaloScreed (Andhrim)")</f>
        <v>Adeptus Mechanicus - HaloScreed (Andhrim)</v>
      </c>
      <c r="J34" s="10" t="str">
        <f>IFERROR(__xludf.DUMMYFUNCTION("filter(H24:H29,H24:H29&lt;&gt;B24,H24:H29&lt;&gt;B35)"),"Adeptus Mechanicus - HaloScreed (Andhrim)")</f>
        <v>Adeptus Mechanicus - HaloScreed (Andhrim)</v>
      </c>
    </row>
    <row r="35" hidden="1" outlineLevel="1">
      <c r="A35" s="58" t="s">
        <v>113</v>
      </c>
      <c r="B35" s="12" t="s">
        <v>131</v>
      </c>
      <c r="C35" s="53" t="s">
        <v>106</v>
      </c>
      <c r="D35" s="48"/>
      <c r="E35" s="49"/>
      <c r="F35" s="50" t="str">
        <f>IFERROR(__xludf.DUMMYFUNCTION("""COMPUTED_VALUE"""),"Necrons - wakened Dynasty (N4sgull)")</f>
        <v>Necrons - wakened Dynasty (N4sgull)</v>
      </c>
      <c r="H35" s="10" t="str">
        <f>IFERROR(__xludf.DUMMYFUNCTION("""COMPUTED_VALUE"""),"Necrons (AtadiloTho Jérome)")</f>
        <v>Necrons (AtadiloTho Jérome)</v>
      </c>
      <c r="I35" s="10" t="str">
        <f>IFERROR(__xludf.DUMMYFUNCTION("""COMPUTED_VALUE"""),"Custodes - Shield Ost (Raphi)")</f>
        <v>Custodes - Shield Ost (Raphi)</v>
      </c>
      <c r="J35" s="10" t="str">
        <f>IFERROR(__xludf.DUMMYFUNCTION("""COMPUTED_VALUE"""),"Custodes - Shield Ost (Raphi)")</f>
        <v>Custodes - Shield Ost (Raphi)</v>
      </c>
    </row>
    <row r="36" hidden="1" outlineLevel="1">
      <c r="A36" s="58" t="s">
        <v>114</v>
      </c>
      <c r="B36" s="12" t="s">
        <v>133</v>
      </c>
      <c r="C36" s="53" t="s">
        <v>107</v>
      </c>
      <c r="D36" s="48"/>
      <c r="E36" s="49"/>
      <c r="F36" s="50" t="str">
        <f>IFERROR(__xludf.DUMMYFUNCTION("""COMPUTED_VALUE"""),"Imperial Knights -  Questoris Companion (Jintoh)")</f>
        <v>Imperial Knights -  Questoris Companion (Jintoh)</v>
      </c>
      <c r="H36" s="10" t="str">
        <f>IFERROR(__xludf.DUMMYFUNCTION("""COMPUTED_VALUE"""),"Tousand sons (Xeroxjager Antoine)")</f>
        <v>Tousand sons (Xeroxjager Antoine)</v>
      </c>
      <c r="I36" s="10" t="str">
        <f>IFERROR(__xludf.DUMMYFUNCTION("""COMPUTED_VALUE"""),"Chaos Space Marines - uron s Marauders (Kthelmir)")</f>
        <v>Chaos Space Marines - uron s Marauders (Kthelmir)</v>
      </c>
      <c r="J36" s="10" t="str">
        <f>IFERROR(__xludf.DUMMYFUNCTION("""COMPUTED_VALUE"""),"Chaos Space Marines - uron s Marauders (Kthelmir)")</f>
        <v>Chaos Space Marines - uron s Marauders (Kthelmir)</v>
      </c>
    </row>
    <row r="37" hidden="1" outlineLevel="1">
      <c r="A37" s="1"/>
      <c r="B37" s="1"/>
      <c r="C37" s="1"/>
      <c r="D37" s="48"/>
      <c r="E37" s="49"/>
      <c r="F37" s="50"/>
      <c r="H37" s="10" t="str">
        <f>IFERROR(__xludf.DUMMYFUNCTION("""COMPUTED_VALUE"""),"Tyranides (El_MoZo Morgan)")</f>
        <v>Tyranides (El_MoZo Morgan)</v>
      </c>
      <c r="I37" s="10" t="str">
        <f>IFERROR(__xludf.DUMMYFUNCTION("""COMPUTED_VALUE"""),"Necrons - wakened Dynasty (N4sgull)")</f>
        <v>Necrons - wakened Dynasty (N4sgull)</v>
      </c>
      <c r="J37" s="10" t="str">
        <f>IFERROR(__xludf.DUMMYFUNCTION("""COMPUTED_VALUE"""),"Imperial Knights -  Questoris Companion (Jintoh)")</f>
        <v>Imperial Knights -  Questoris Companion (Jintoh)</v>
      </c>
    </row>
    <row r="38" hidden="1" outlineLevel="1">
      <c r="A38" s="1"/>
      <c r="B38" s="1"/>
      <c r="C38" s="1"/>
      <c r="D38" s="48"/>
      <c r="E38" s="49"/>
      <c r="F38" s="50"/>
      <c r="H38" s="10" t="str">
        <f>IFERROR(__xludf.DUMMYFUNCTION("""COMPUTED_VALUE"""),"Astra Militarum (Punkachien Marc)")</f>
        <v>Astra Militarum (Punkachien Marc)</v>
      </c>
      <c r="I38" s="10" t="str">
        <f>IFERROR(__xludf.DUMMYFUNCTION("""COMPUTED_VALUE"""),"Imperial Knights -  Questoris Companion (Jintoh)")</f>
        <v>Imperial Knights -  Questoris Companion (Jintoh)</v>
      </c>
    </row>
    <row r="39" hidden="1" outlineLevel="1">
      <c r="H39" s="10" t="str">
        <f>IFERROR(__xludf.DUMMYFUNCTION("""COMPUTED_VALUE"""),"T au (DoubleRation David)")</f>
        <v>T au (DoubleRation David)</v>
      </c>
    </row>
    <row r="40" hidden="1" outlineLevel="1">
      <c r="H40" s="16" t="s">
        <v>93</v>
      </c>
      <c r="I40" s="16" t="s">
        <v>93</v>
      </c>
      <c r="J40" s="16" t="s">
        <v>93</v>
      </c>
    </row>
    <row r="42" collapsed="1">
      <c r="A42" s="14" t="s">
        <v>115</v>
      </c>
      <c r="B42" s="16" t="s">
        <v>24</v>
      </c>
    </row>
    <row r="43" hidden="1" outlineLevel="1">
      <c r="A43" s="39" t="s">
        <v>69</v>
      </c>
      <c r="C43" s="40"/>
      <c r="I43" s="16"/>
      <c r="J43" s="16"/>
    </row>
    <row r="44" hidden="1" outlineLevel="1">
      <c r="C44" s="41" t="s">
        <v>71</v>
      </c>
      <c r="D44" s="42" t="s">
        <v>72</v>
      </c>
      <c r="E44" s="43" t="s">
        <v>73</v>
      </c>
      <c r="F44" s="44" t="s">
        <v>77</v>
      </c>
      <c r="H44" s="12" t="s">
        <v>78</v>
      </c>
      <c r="I44" s="8" t="s">
        <v>80</v>
      </c>
      <c r="J44" s="8" t="s">
        <v>81</v>
      </c>
    </row>
    <row r="45" hidden="1" outlineLevel="1">
      <c r="A45" s="45" t="s">
        <v>82</v>
      </c>
      <c r="B45" s="46" t="s">
        <v>129</v>
      </c>
      <c r="C45" s="41"/>
      <c r="D45" s="48" t="str">
        <f>IFERROR(__xludf.DUMMYFUNCTION("QUERY($A$14:$G$19, CONCATENATE(""Select Col1 where Col"",match(B45,$A$4:$A$10,0),""&gt;3 and not  Col1 contains '"",$B$76,""' and not  Col1 contains '"",$B$74,""' and not  Col1 contains '"",$B$82,""'""),0)"),"Tyranides (El_MoZo Morgan)")</f>
        <v>Tyranides (El_MoZo Morgan)</v>
      </c>
      <c r="E45" s="49" t="str">
        <f>IFERROR(__xludf.DUMMYFUNCTION("QUERY($A$14:$G$19, CONCATENATE(""Select Col1 where Col"",match(B45,$A$4:$A$10,0),""=3 and not  Col1 contains '"",$B$76,""' and not  Col1 contains '"",$B$74,""' and not  Col1 contains '"",$B$82,""'""),0)"),"Necrons (AtadiloTho Jérome)")</f>
        <v>Necrons (AtadiloTho Jérome)</v>
      </c>
      <c r="F45" s="50" t="str">
        <f>IFERROR(__xludf.DUMMYFUNCTION("QUERY($A$14:$G$19, CONCATENATE(""Select Col1 where Col"",match(B45,$A$4:$A$10,0),""&lt;3 and not  Col1 contains '"",$B$76,""' and not  Col1 contains '"",$B$74,""' and not  Col1 contains '"",$B$82,""'""),0)"),"Dark Angel Gladius (Pharn Jonathan)")</f>
        <v>Dark Angel Gladius (Pharn Jonathan)</v>
      </c>
      <c r="H45" s="10" t="str">
        <f>IFERROR(__xludf.DUMMYFUNCTION("filter(H24:H29,H24:H29&lt;&gt;B73,H24:H29&lt;&gt;B77)"),"Adeptus Mechanicus - HaloScreed (Andhrim)")</f>
        <v>Adeptus Mechanicus - HaloScreed (Andhrim)</v>
      </c>
      <c r="I45" s="10" t="str">
        <f>IFERROR(__xludf.DUMMYFUNCTION("filter(H55:H59,H55:H59&lt;&gt;B55)"),"Dark Angel Gladius (Pharn Jonathan)")</f>
        <v>Dark Angel Gladius (Pharn Jonathan)</v>
      </c>
      <c r="J45" s="10" t="str">
        <f>IFERROR(__xludf.DUMMYFUNCTION("filter(H55:H59,H55:H59&lt;&gt;B55,H55:H59&lt;&gt;B46)"),"Dark Angel Gladius (Pharn Jonathan)")</f>
        <v>Dark Angel Gladius (Pharn Jonathan)</v>
      </c>
    </row>
    <row r="46" hidden="1" outlineLevel="1">
      <c r="A46" s="51" t="s">
        <v>104</v>
      </c>
      <c r="B46" s="52" t="s">
        <v>17</v>
      </c>
      <c r="C46" s="53" t="s">
        <v>106</v>
      </c>
      <c r="D46" s="48"/>
      <c r="E46" s="49"/>
      <c r="F46" s="50"/>
      <c r="H46" s="10" t="str">
        <f>IFERROR(__xludf.DUMMYFUNCTION("""COMPUTED_VALUE"""),"Custodes - Shield Ost (Raphi)")</f>
        <v>Custodes - Shield Ost (Raphi)</v>
      </c>
      <c r="I46" s="10" t="str">
        <f>IFERROR(__xludf.DUMMYFUNCTION("""COMPUTED_VALUE"""),"Necrons (AtadiloTho Jérome)")</f>
        <v>Necrons (AtadiloTho Jérome)</v>
      </c>
      <c r="J46" s="10" t="str">
        <f>IFERROR(__xludf.DUMMYFUNCTION("""COMPUTED_VALUE"""),"Necrons (AtadiloTho Jérome)")</f>
        <v>Necrons (AtadiloTho Jérome)</v>
      </c>
    </row>
    <row r="47" hidden="1" outlineLevel="1">
      <c r="A47" s="51" t="s">
        <v>105</v>
      </c>
      <c r="B47" s="52" t="s">
        <v>15</v>
      </c>
      <c r="C47" s="53" t="s">
        <v>107</v>
      </c>
      <c r="D47" s="48"/>
      <c r="E47" s="49"/>
      <c r="F47" s="50"/>
      <c r="H47" s="10" t="str">
        <f>IFERROR(__xludf.DUMMYFUNCTION("""COMPUTED_VALUE"""),"Chaos Space Marines - uron s Marauders (Kthelmir)")</f>
        <v>Chaos Space Marines - uron s Marauders (Kthelmir)</v>
      </c>
      <c r="I47" s="10" t="str">
        <f>IFERROR(__xludf.DUMMYFUNCTION("""COMPUTED_VALUE"""),"Tyranides (El_MoZo Morgan)")</f>
        <v>Tyranides (El_MoZo Morgan)</v>
      </c>
      <c r="J47" s="10"/>
    </row>
    <row r="48" hidden="1" outlineLevel="1">
      <c r="A48" s="1"/>
      <c r="B48" s="1"/>
      <c r="C48" s="1"/>
      <c r="D48" s="48"/>
      <c r="E48" s="49"/>
      <c r="F48" s="50"/>
      <c r="H48" s="10" t="str">
        <f>IFERROR(__xludf.DUMMYFUNCTION("""COMPUTED_VALUE"""),"Imperial Knights -  Questoris Companion (Jintoh)")</f>
        <v>Imperial Knights -  Questoris Companion (Jintoh)</v>
      </c>
      <c r="I48" s="10"/>
    </row>
    <row r="49" hidden="1" outlineLevel="1">
      <c r="A49" s="1"/>
      <c r="B49" s="1"/>
      <c r="C49" s="1"/>
      <c r="D49" s="48"/>
      <c r="E49" s="49"/>
      <c r="F49" s="50"/>
    </row>
    <row r="50" hidden="1" outlineLevel="1">
      <c r="H50" s="16" t="s">
        <v>93</v>
      </c>
      <c r="I50" s="16" t="s">
        <v>93</v>
      </c>
      <c r="J50" s="16" t="s">
        <v>93</v>
      </c>
    </row>
    <row r="51" hidden="1" outlineLevel="1"/>
    <row r="52" hidden="1" outlineLevel="1"/>
    <row r="53" hidden="1" outlineLevel="1">
      <c r="A53" s="39" t="s">
        <v>108</v>
      </c>
      <c r="C53" s="40"/>
      <c r="I53" s="16"/>
      <c r="J53" s="16"/>
    </row>
    <row r="54" hidden="1" outlineLevel="1">
      <c r="C54" s="41" t="s">
        <v>71</v>
      </c>
      <c r="D54" s="54" t="s">
        <v>72</v>
      </c>
      <c r="E54" s="55" t="s">
        <v>73</v>
      </c>
      <c r="F54" s="56" t="s">
        <v>77</v>
      </c>
      <c r="H54" s="8" t="s">
        <v>109</v>
      </c>
      <c r="I54" s="12" t="s">
        <v>110</v>
      </c>
      <c r="J54" s="12" t="s">
        <v>111</v>
      </c>
    </row>
    <row r="55" hidden="1" outlineLevel="1">
      <c r="A55" s="51" t="s">
        <v>112</v>
      </c>
      <c r="B55" s="52" t="s">
        <v>18</v>
      </c>
      <c r="C55" s="41"/>
      <c r="D55" s="48" t="str">
        <f>IFERROR(__xludf.DUMMYFUNCTION("QUERY($A$5:$G$10, CONCATENATE(""Select Col1 where Col"",match(B55,$A$13:$A$19,0),""&gt;3 and not  Col1 contains '"",$B$73,""' and not  Col1 contains '"",$B$77,""' and not  Col1 contains '"",$B$79,""'""),0)"),"#N/A")</f>
        <v>#N/A</v>
      </c>
      <c r="E55" s="49" t="str">
        <f>IFERROR(__xludf.DUMMYFUNCTION("QUERY($A$5:$G$10, CONCATENATE(""Select Col1 where Col"",match(B55,$A$13:$A$19,0),""=3 and not  Col1 contains '"",$B$73,""' and not  Col1 contains '"",$B$77,""' and not  Col1 contains '"",$B$79,""'""),0)"),"Chaos Space Marines - uron s Marauders (Kthelmir)")</f>
        <v>Chaos Space Marines - uron s Marauders (Kthelmir)</v>
      </c>
      <c r="F55" s="50" t="str">
        <f>IFERROR(__xludf.DUMMYFUNCTION("QUERY($A$5:$G$10, CONCATENATE(""Select Col1 where Col"",match(B55,$A$13:$A$19,0),""&lt;3 and not  Col1 contains '"",$B$73,""' and not  Col1 contains '"",$B$77,""' and not  Col1 contains '"",$B$79,""'""),0)"),"Adeptus Mechanicus - HaloScreed (Andhrim)")</f>
        <v>Adeptus Mechanicus - HaloScreed (Andhrim)</v>
      </c>
      <c r="H55" s="10" t="str">
        <f>IFERROR(__xludf.DUMMYFUNCTION("filter(H34:H39,H34:H39&lt;&gt;B74,H34:H39&lt;&gt;B76)"),"Dark Angel Gladius (Pharn Jonathan)")</f>
        <v>Dark Angel Gladius (Pharn Jonathan)</v>
      </c>
      <c r="I55" s="10" t="str">
        <f>IFERROR(__xludf.DUMMYFUNCTION("filter(H45:H49,H45:H49&lt;&gt;B45)"),"Adeptus Mechanicus - HaloScreed (Andhrim)")</f>
        <v>Adeptus Mechanicus - HaloScreed (Andhrim)</v>
      </c>
      <c r="J55" s="10" t="str">
        <f>IFERROR(__xludf.DUMMYFUNCTION("filter(H45:H49,H45:H49&lt;&gt;B45,H45:H49&lt;&gt;B46)"),"Adeptus Mechanicus - HaloScreed (Andhrim)")</f>
        <v>Adeptus Mechanicus - HaloScreed (Andhrim)</v>
      </c>
    </row>
    <row r="56" hidden="1" outlineLevel="1">
      <c r="A56" s="45" t="s">
        <v>114</v>
      </c>
      <c r="B56" s="46" t="s">
        <v>128</v>
      </c>
      <c r="C56" s="53" t="s">
        <v>107</v>
      </c>
      <c r="D56" s="48"/>
      <c r="E56" s="49" t="str">
        <f>IFERROR(__xludf.DUMMYFUNCTION("""COMPUTED_VALUE"""),"Imperial Knights -  Questoris Companion (Jintoh)")</f>
        <v>Imperial Knights -  Questoris Companion (Jintoh)</v>
      </c>
      <c r="F56" s="50"/>
      <c r="H56" s="10" t="str">
        <f>IFERROR(__xludf.DUMMYFUNCTION("""COMPUTED_VALUE"""),"Necrons (AtadiloTho Jérome)")</f>
        <v>Necrons (AtadiloTho Jérome)</v>
      </c>
      <c r="I56" s="10" t="str">
        <f>IFERROR(__xludf.DUMMYFUNCTION("""COMPUTED_VALUE"""),"Chaos Space Marines - uron s Marauders (Kthelmir)")</f>
        <v>Chaos Space Marines - uron s Marauders (Kthelmir)</v>
      </c>
      <c r="J56" s="10" t="str">
        <f>IFERROR(__xludf.DUMMYFUNCTION("""COMPUTED_VALUE"""),"Chaos Space Marines - uron s Marauders (Kthelmir)")</f>
        <v>Chaos Space Marines - uron s Marauders (Kthelmir)</v>
      </c>
    </row>
    <row r="57" hidden="1" outlineLevel="1">
      <c r="A57" s="45" t="s">
        <v>114</v>
      </c>
      <c r="B57" s="46" t="s">
        <v>130</v>
      </c>
      <c r="C57" s="53" t="s">
        <v>106</v>
      </c>
      <c r="D57" s="48"/>
      <c r="E57" s="49"/>
      <c r="F57" s="50"/>
      <c r="H57" s="10" t="str">
        <f>IFERROR(__xludf.DUMMYFUNCTION("""COMPUTED_VALUE"""),"Tyranides (El_MoZo Morgan)")</f>
        <v>Tyranides (El_MoZo Morgan)</v>
      </c>
      <c r="I57" s="10" t="str">
        <f>IFERROR(__xludf.DUMMYFUNCTION("""COMPUTED_VALUE"""),"Imperial Knights -  Questoris Companion (Jintoh)")</f>
        <v>Imperial Knights -  Questoris Companion (Jintoh)</v>
      </c>
      <c r="J57" s="10" t="str">
        <f>IFERROR(__xludf.DUMMYFUNCTION("""COMPUTED_VALUE"""),"Imperial Knights -  Questoris Companion (Jintoh)")</f>
        <v>Imperial Knights -  Questoris Companion (Jintoh)</v>
      </c>
    </row>
    <row r="58" hidden="1" outlineLevel="1">
      <c r="A58" s="1"/>
      <c r="B58" s="1"/>
      <c r="C58" s="1"/>
      <c r="D58" s="48"/>
      <c r="E58" s="49"/>
      <c r="F58" s="50"/>
      <c r="H58" s="10" t="str">
        <f>IFERROR(__xludf.DUMMYFUNCTION("""COMPUTED_VALUE"""),"Astra Militarum (Punkachien Marc)")</f>
        <v>Astra Militarum (Punkachien Marc)</v>
      </c>
      <c r="I58" s="10"/>
      <c r="J58" s="10"/>
    </row>
    <row r="59" hidden="1" outlineLevel="1">
      <c r="A59" s="1"/>
      <c r="B59" s="1"/>
      <c r="C59" s="1"/>
      <c r="D59" s="48"/>
      <c r="E59" s="49"/>
      <c r="F59" s="50"/>
    </row>
    <row r="60" hidden="1" outlineLevel="1">
      <c r="H60" s="16" t="s">
        <v>93</v>
      </c>
      <c r="I60" s="16" t="s">
        <v>93</v>
      </c>
      <c r="J60" s="16" t="s">
        <v>93</v>
      </c>
    </row>
    <row r="61" hidden="1" outlineLevel="1"/>
    <row r="62" hidden="1" outlineLevel="1"/>
    <row r="63" hidden="1" outlineLevel="1">
      <c r="A63" s="39" t="s">
        <v>116</v>
      </c>
    </row>
    <row r="64" hidden="1" outlineLevel="1"/>
    <row r="65" hidden="1" outlineLevel="1"/>
    <row r="68">
      <c r="A68" s="14" t="s">
        <v>117</v>
      </c>
    </row>
    <row r="70">
      <c r="A70" s="59" t="s">
        <v>118</v>
      </c>
      <c r="B70" s="16" t="s">
        <v>8</v>
      </c>
    </row>
    <row r="72">
      <c r="C72" s="60" t="s">
        <v>119</v>
      </c>
      <c r="D72" s="41" t="s">
        <v>120</v>
      </c>
      <c r="E72" s="41" t="s">
        <v>121</v>
      </c>
      <c r="F72" s="41" t="s">
        <v>122</v>
      </c>
    </row>
    <row r="73">
      <c r="A73" s="61" t="s">
        <v>123</v>
      </c>
      <c r="B73" s="46" t="str">
        <f>B24</f>
        <v>Tau - Mont ka (Z0rr0)</v>
      </c>
      <c r="C73" s="53" t="s">
        <v>3</v>
      </c>
      <c r="D73" s="62">
        <v>20.0</v>
      </c>
      <c r="E73" s="62">
        <v>100.0</v>
      </c>
      <c r="F73" s="63">
        <f>IF(D73&gt;D74,2,if(D73&lt;D74,0,1))</f>
        <v>2</v>
      </c>
    </row>
    <row r="74">
      <c r="A74" s="31"/>
      <c r="B74" s="52" t="str">
        <f>IFERROR(__xludf.DUMMYFUNCTION("FILTER(B25:B26,C25:C26=""Oui"")"),"Tousand sons (Xeroxjager Antoine)")</f>
        <v>Tousand sons (Xeroxjager Antoine)</v>
      </c>
      <c r="C74" s="53" t="s">
        <v>3</v>
      </c>
      <c r="D74" s="62">
        <v>0.0</v>
      </c>
      <c r="E74" s="62">
        <v>20.0</v>
      </c>
      <c r="F74" s="64">
        <f>2-F73</f>
        <v>0</v>
      </c>
    </row>
    <row r="75">
      <c r="A75" s="65" t="s">
        <v>124</v>
      </c>
      <c r="B75" s="53" t="s">
        <v>125</v>
      </c>
      <c r="F75" s="29"/>
    </row>
    <row r="76">
      <c r="A76" s="61" t="s">
        <v>123</v>
      </c>
      <c r="B76" s="52" t="str">
        <f>B34</f>
        <v>T au (DoubleRation David)</v>
      </c>
      <c r="C76" s="53" t="s">
        <v>3</v>
      </c>
      <c r="D76" s="62">
        <v>7.0</v>
      </c>
      <c r="E76" s="62">
        <v>66.0</v>
      </c>
      <c r="F76" s="64">
        <f>IF(D76&gt;D77,2,if(D76&lt;D77,0,1))</f>
        <v>0</v>
      </c>
    </row>
    <row r="77">
      <c r="A77" s="31"/>
      <c r="B77" s="46" t="str">
        <f>IFERROR(__xludf.DUMMYFUNCTION("FILTER(B35:B36,C35:C36=""Oui"")"),"Necrons - wakened Dynasty (N4sgull)")</f>
        <v>Necrons - wakened Dynasty (N4sgull)</v>
      </c>
      <c r="C77" s="53" t="s">
        <v>3</v>
      </c>
      <c r="D77" s="62">
        <v>13.0</v>
      </c>
      <c r="E77" s="62">
        <v>86.0</v>
      </c>
      <c r="F77" s="63">
        <f>2-F76</f>
        <v>2</v>
      </c>
    </row>
    <row r="78">
      <c r="A78" s="65" t="s">
        <v>124</v>
      </c>
      <c r="B78" s="53" t="s">
        <v>125</v>
      </c>
      <c r="F78" s="29"/>
    </row>
    <row r="79">
      <c r="A79" s="61" t="s">
        <v>123</v>
      </c>
      <c r="B79" s="46" t="str">
        <f>B45</f>
        <v>Custodes - Shield Ost (Raphi)</v>
      </c>
      <c r="C79" s="53" t="s">
        <v>3</v>
      </c>
      <c r="D79" s="62">
        <v>12.0</v>
      </c>
      <c r="E79" s="62">
        <v>76.0</v>
      </c>
      <c r="F79" s="63">
        <f>IF(D79&gt;D80,2,if(D79&lt;D80,0,1))</f>
        <v>2</v>
      </c>
    </row>
    <row r="80">
      <c r="A80" s="31"/>
      <c r="B80" s="52" t="str">
        <f>IFERROR(__xludf.DUMMYFUNCTION("FILTER(B46:B47,C46:C47=""Oui"")"),"Tyranides (El_MoZo Morgan)")</f>
        <v>Tyranides (El_MoZo Morgan)</v>
      </c>
      <c r="C80" s="53" t="s">
        <v>3</v>
      </c>
      <c r="D80" s="62">
        <v>8.0</v>
      </c>
      <c r="E80" s="62">
        <v>65.0</v>
      </c>
      <c r="F80" s="64">
        <f>2-F79</f>
        <v>0</v>
      </c>
    </row>
    <row r="81">
      <c r="A81" s="65" t="s">
        <v>124</v>
      </c>
      <c r="B81" s="53" t="s">
        <v>125</v>
      </c>
      <c r="F81" s="29"/>
    </row>
    <row r="82">
      <c r="A82" s="61" t="s">
        <v>123</v>
      </c>
      <c r="B82" s="52" t="str">
        <f>B55</f>
        <v>Astra Militarum (Punkachien Marc)</v>
      </c>
      <c r="C82" s="53" t="s">
        <v>3</v>
      </c>
      <c r="D82" s="62">
        <v>3.0</v>
      </c>
      <c r="E82" s="62">
        <v>44.0</v>
      </c>
      <c r="F82" s="64">
        <f>IF(D82&gt;D83,2,if(D82&lt;D83,0,1))</f>
        <v>0</v>
      </c>
    </row>
    <row r="83">
      <c r="A83" s="31"/>
      <c r="B83" s="46" t="str">
        <f>IFERROR(__xludf.DUMMYFUNCTION("FILTER(B56:B57,C56:C57=""Oui"")"),"Chaos Space Marines - uron s Marauders (Kthelmir)")</f>
        <v>Chaos Space Marines - uron s Marauders (Kthelmir)</v>
      </c>
      <c r="C83" s="53" t="s">
        <v>3</v>
      </c>
      <c r="D83" s="62">
        <v>17.0</v>
      </c>
      <c r="E83" s="62">
        <v>80.0</v>
      </c>
      <c r="F83" s="63">
        <f>2-F82</f>
        <v>2</v>
      </c>
    </row>
    <row r="84">
      <c r="A84" s="65" t="s">
        <v>124</v>
      </c>
      <c r="B84" s="53" t="s">
        <v>125</v>
      </c>
      <c r="F84" s="29"/>
    </row>
    <row r="85">
      <c r="A85" s="14" t="s">
        <v>126</v>
      </c>
      <c r="F85" s="29"/>
    </row>
    <row r="86">
      <c r="A86" s="61" t="s">
        <v>123</v>
      </c>
      <c r="B86" s="46" t="str">
        <f>IFERROR(__xludf.DUMMYFUNCTION("FILTER(B56:B57,C56:C57=""Non"")"),"Adeptus Mechanicus - HaloScreed (Andhrim)")</f>
        <v>Adeptus Mechanicus - HaloScreed (Andhrim)</v>
      </c>
      <c r="C86" s="53" t="s">
        <v>3</v>
      </c>
      <c r="D86" s="62">
        <v>9.0</v>
      </c>
      <c r="E86" s="62">
        <v>72.0</v>
      </c>
      <c r="F86" s="63">
        <f>IF(D86&gt;D87,2,if(D86&lt;D87,0,1))</f>
        <v>0</v>
      </c>
    </row>
    <row r="87">
      <c r="A87" s="31"/>
      <c r="B87" s="52" t="str">
        <f>IFERROR(__xludf.DUMMYFUNCTION("FILTER(B46:B47,C46:C47=""Non"")"),"Necrons (AtadiloTho Jérome)")</f>
        <v>Necrons (AtadiloTho Jérome)</v>
      </c>
      <c r="C87" s="53" t="s">
        <v>3</v>
      </c>
      <c r="D87" s="62">
        <v>11.0</v>
      </c>
      <c r="E87" s="62">
        <v>79.0</v>
      </c>
      <c r="F87" s="64">
        <f>2-F86</f>
        <v>2</v>
      </c>
    </row>
    <row r="88">
      <c r="A88" s="65" t="s">
        <v>124</v>
      </c>
      <c r="B88" s="53" t="s">
        <v>125</v>
      </c>
      <c r="F88" s="29"/>
    </row>
    <row r="89">
      <c r="A89" s="14" t="s">
        <v>127</v>
      </c>
      <c r="F89" s="29"/>
    </row>
    <row r="90">
      <c r="A90" s="61" t="s">
        <v>123</v>
      </c>
      <c r="B90" s="46" t="str">
        <f>IFERROR(__xludf.DUMMYFUNCTION("filter(H45:H48,H45:H48&lt;&gt;B79,H45:H48&lt;&gt;B83,H45:H48&lt;&gt;B86)"),"Imperial Knights -  Questoris Companion (Jintoh)")</f>
        <v>Imperial Knights -  Questoris Companion (Jintoh)</v>
      </c>
      <c r="C90" s="53" t="s">
        <v>3</v>
      </c>
      <c r="D90" s="62">
        <v>20.0</v>
      </c>
      <c r="E90" s="62">
        <v>97.0</v>
      </c>
      <c r="F90" s="63">
        <f>IF(D90&gt;D91,2,if(D90&lt;D91,0,1))</f>
        <v>2</v>
      </c>
    </row>
    <row r="91">
      <c r="A91" s="31"/>
      <c r="B91" s="52" t="str">
        <f>IFERROR(__xludf.DUMMYFUNCTION("FILTER(H55:H58,H55:H58&lt;&gt;B80,H55:H58&lt;&gt;B82,H55:H58&lt;&gt;B87)"),"Dark Angel Gladius (Pharn Jonathan)")</f>
        <v>Dark Angel Gladius (Pharn Jonathan)</v>
      </c>
      <c r="C91" s="53" t="s">
        <v>3</v>
      </c>
      <c r="D91" s="62">
        <v>0.0</v>
      </c>
      <c r="E91" s="62">
        <v>30.0</v>
      </c>
      <c r="F91" s="64">
        <f>2-F90</f>
        <v>0</v>
      </c>
    </row>
    <row r="92">
      <c r="A92" s="65" t="s">
        <v>124</v>
      </c>
      <c r="B92" s="53" t="s">
        <v>125</v>
      </c>
    </row>
    <row r="94">
      <c r="B94" s="66" t="s">
        <v>8</v>
      </c>
      <c r="C94" s="67"/>
      <c r="D94" s="68">
        <f t="shared" ref="D94:F94" si="1">D74+D76+D80+D82+D87+D91</f>
        <v>29</v>
      </c>
      <c r="E94" s="68">
        <f t="shared" si="1"/>
        <v>304</v>
      </c>
      <c r="F94" s="68">
        <f t="shared" si="1"/>
        <v>2</v>
      </c>
    </row>
    <row r="95">
      <c r="B95" s="69" t="s">
        <v>35</v>
      </c>
      <c r="C95" s="67"/>
      <c r="D95" s="70">
        <f t="shared" ref="D95:F95" si="2">D73+D77+D79+D83+D86+D90</f>
        <v>91</v>
      </c>
      <c r="E95" s="70">
        <f t="shared" si="2"/>
        <v>511</v>
      </c>
      <c r="F95" s="70">
        <f t="shared" si="2"/>
        <v>10</v>
      </c>
    </row>
  </sheetData>
  <mergeCells count="6">
    <mergeCell ref="A73:A74"/>
    <mergeCell ref="A76:A77"/>
    <mergeCell ref="A79:A80"/>
    <mergeCell ref="A82:A83"/>
    <mergeCell ref="A86:A87"/>
    <mergeCell ref="A90:A91"/>
  </mergeCells>
  <conditionalFormatting sqref="B5:I10 B14:G19">
    <cfRule type="colorScale" priority="1">
      <colorScale>
        <cfvo type="min"/>
        <cfvo type="formula" val="3"/>
        <cfvo type="max"/>
        <color rgb="FFFF0000"/>
        <color rgb="FFFFFF00"/>
        <color rgb="FF57BB8A"/>
      </colorScale>
    </cfRule>
  </conditionalFormatting>
  <dataValidations>
    <dataValidation type="list" allowBlank="1" showErrorMessage="1" sqref="B47">
      <formula1>'Ronde 2'!$J$45:$J$50</formula1>
    </dataValidation>
    <dataValidation type="list" allowBlank="1" showErrorMessage="1" sqref="B1">
      <formula1>" 🚧,1,2,3,4,5"</formula1>
    </dataValidation>
    <dataValidation type="list" allowBlank="1" showErrorMessage="1" sqref="B56">
      <formula1>'Ronde 2'!$I$55:$I$60</formula1>
    </dataValidation>
    <dataValidation type="list" allowBlank="1" showErrorMessage="1" sqref="B25">
      <formula1>$I$24:$I$30</formula1>
    </dataValidation>
    <dataValidation type="list" allowBlank="1" showErrorMessage="1" sqref="B46">
      <formula1>'Ronde 2'!$I$45:$I$50</formula1>
    </dataValidation>
    <dataValidation type="list" allowBlank="1" showErrorMessage="1" sqref="B34">
      <formula1>'Ronde 2'!$H$34:$H$40</formula1>
    </dataValidation>
    <dataValidation type="list" allowBlank="1" showErrorMessage="1" sqref="B45">
      <formula1>$H$45:$H$50</formula1>
    </dataValidation>
    <dataValidation type="list" allowBlank="1" showErrorMessage="1" sqref="B75 B78 B81 B84 B88 B92">
      <formula1>"🚧,Layout 1,Layout 2,Layout 3,Layout 4,Layout 5,Layout 6"</formula1>
    </dataValidation>
    <dataValidation type="list" allowBlank="1" showErrorMessage="1" sqref="B36">
      <formula1>$J$34:$J$40</formula1>
    </dataValidation>
    <dataValidation type="list" allowBlank="1" showErrorMessage="1" sqref="B35">
      <formula1>$I$34:$I$40</formula1>
    </dataValidation>
    <dataValidation type="list" allowBlank="1" showErrorMessage="1" sqref="C25:C26 C35:C36 C46:C47 C56:C57 C73:C74 C76:C77 C79:C80 C82:C83 C86:C87 C90:C91">
      <formula1>" 🚧,Oui,Non"</formula1>
    </dataValidation>
    <dataValidation type="list" allowBlank="1" showErrorMessage="1" sqref="B55">
      <formula1>'Ronde 2'!$H$55:$H$60</formula1>
    </dataValidation>
    <dataValidation type="list" allowBlank="1" showErrorMessage="1" sqref="B70">
      <formula1>'Ronde 2'!$D$1:$D$2</formula1>
    </dataValidation>
    <dataValidation type="list" allowBlank="1" showErrorMessage="1" sqref="B57">
      <formula1>'Ronde 2'!$J$55:$J$60</formula1>
    </dataValidation>
    <dataValidation type="list" allowBlank="1" showErrorMessage="1" sqref="B24">
      <formula1>$H$24:$H$30</formula1>
    </dataValidation>
    <dataValidation type="list" allowBlank="1" showErrorMessage="1" sqref="B26">
      <formula1>$J$24:$J$30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13"/>
    <col customWidth="1" min="2" max="2" width="36.88"/>
    <col customWidth="1" min="3" max="3" width="10.38"/>
    <col customWidth="1" min="4" max="6" width="31.25"/>
    <col customWidth="1" min="7" max="7" width="54.0"/>
    <col customWidth="1" min="8" max="10" width="27.25"/>
  </cols>
  <sheetData>
    <row r="1">
      <c r="A1" s="2" t="s">
        <v>0</v>
      </c>
      <c r="B1" s="5">
        <v>4.0</v>
      </c>
      <c r="C1" s="2" t="s">
        <v>6</v>
      </c>
      <c r="D1" s="8" t="s">
        <v>8</v>
      </c>
      <c r="E1" s="2" t="s">
        <v>10</v>
      </c>
      <c r="F1" s="10" t="str">
        <f>IFERROR(__xludf.DUMMYFUNCTION("QUERY(Rosters!A13:G42,CONCATENATE(""select Col7  where Col1="",B1, ""limit 1""))"),"O - Terraform / Crucible of Battle")</f>
        <v>O - Terraform / Crucible of Battle</v>
      </c>
    </row>
    <row r="2">
      <c r="C2" s="2" t="s">
        <v>12</v>
      </c>
      <c r="D2" s="12" t="str">
        <f>IFERROR(__xludf.DUMMYFUNCTION("QUERY(Estimes!A3:J32,CONCATENATE(""select Col4  where Col1="",B1, ""limit 1""))"),"LVBBW")</f>
        <v>LVBBW</v>
      </c>
    </row>
    <row r="3" collapsed="1">
      <c r="A3" s="14" t="s">
        <v>21</v>
      </c>
      <c r="B3" s="16" t="s">
        <v>24</v>
      </c>
    </row>
    <row r="4" hidden="1" outlineLevel="1">
      <c r="A4" s="6"/>
      <c r="B4" s="1" t="str">
        <f>IFERROR(__xludf.DUMMYFUNCTION("QUERY(Estimes!E2:J2)"),"Dark Angel Gladius (Pharn Jonathan)")</f>
        <v>Dark Angel Gladius (Pharn Jonathan)</v>
      </c>
      <c r="C4" s="1" t="str">
        <f>IFERROR(__xludf.DUMMYFUNCTION("""COMPUTED_VALUE"""),"Necrons (AtadiloTho Jérome)")</f>
        <v>Necrons (AtadiloTho Jérome)</v>
      </c>
      <c r="D4" s="1" t="str">
        <f>IFERROR(__xludf.DUMMYFUNCTION("""COMPUTED_VALUE"""),"Tousand sons (Xeroxjager Antoine)")</f>
        <v>Tousand sons (Xeroxjager Antoine)</v>
      </c>
      <c r="E4" s="1" t="str">
        <f>IFERROR(__xludf.DUMMYFUNCTION("""COMPUTED_VALUE"""),"Tyranides (El_MoZo Morgan)")</f>
        <v>Tyranides (El_MoZo Morgan)</v>
      </c>
      <c r="F4" s="1" t="str">
        <f>IFERROR(__xludf.DUMMYFUNCTION("""COMPUTED_VALUE"""),"Astra Militarum (Punkachien Marc)")</f>
        <v>Astra Militarum (Punkachien Marc)</v>
      </c>
      <c r="G4" s="1" t="str">
        <f>IFERROR(__xludf.DUMMYFUNCTION("""COMPUTED_VALUE"""),"T au (DoubleRation David)")</f>
        <v>T au (DoubleRation David)</v>
      </c>
    </row>
    <row r="5" hidden="1" outlineLevel="1">
      <c r="A5" s="1" t="str">
        <f>IFERROR(__xludf.DUMMYFUNCTION("QUERY(Estimes!A3:J32,CONCATENATE(""select Col2, Col5, Col6, Col7, Col8, Col9, Col10  where Col1="",B1))"),"Space Wolf - Saga (Dorgda35)")</f>
        <v>Space Wolf - Saga (Dorgda35)</v>
      </c>
      <c r="B5" s="25">
        <f>IFERROR(__xludf.DUMMYFUNCTION("""COMPUTED_VALUE"""),4.0)</f>
        <v>4</v>
      </c>
      <c r="C5" s="25">
        <f>IFERROR(__xludf.DUMMYFUNCTION("""COMPUTED_VALUE"""),3.0)</f>
        <v>3</v>
      </c>
      <c r="D5" s="25">
        <f>IFERROR(__xludf.DUMMYFUNCTION("""COMPUTED_VALUE"""),2.0)</f>
        <v>2</v>
      </c>
      <c r="E5" s="25">
        <f>IFERROR(__xludf.DUMMYFUNCTION("""COMPUTED_VALUE"""),4.0)</f>
        <v>4</v>
      </c>
      <c r="F5" s="25">
        <f>IFERROR(__xludf.DUMMYFUNCTION("""COMPUTED_VALUE"""),4.0)</f>
        <v>4</v>
      </c>
      <c r="G5" s="25">
        <f>IFERROR(__xludf.DUMMYFUNCTION("""COMPUTED_VALUE"""),3.0)</f>
        <v>3</v>
      </c>
      <c r="H5" s="29"/>
      <c r="I5" s="29"/>
    </row>
    <row r="6" hidden="1" outlineLevel="1">
      <c r="A6" s="1" t="str">
        <f>IFERROR(__xludf.DUMMYFUNCTION("""COMPUTED_VALUE"""),"Chaos Knight - Lance Hordedogue (elfman35)")</f>
        <v>Chaos Knight - Lance Hordedogue (elfman35)</v>
      </c>
      <c r="B6" s="25">
        <f>IFERROR(__xludf.DUMMYFUNCTION("""COMPUTED_VALUE"""),3.0)</f>
        <v>3</v>
      </c>
      <c r="C6" s="25">
        <f>IFERROR(__xludf.DUMMYFUNCTION("""COMPUTED_VALUE"""),3.0)</f>
        <v>3</v>
      </c>
      <c r="D6" s="25">
        <f>IFERROR(__xludf.DUMMYFUNCTION("""COMPUTED_VALUE"""),4.0)</f>
        <v>4</v>
      </c>
      <c r="E6" s="25">
        <f>IFERROR(__xludf.DUMMYFUNCTION("""COMPUTED_VALUE"""),3.0)</f>
        <v>3</v>
      </c>
      <c r="F6" s="25">
        <f>IFERROR(__xludf.DUMMYFUNCTION("""COMPUTED_VALUE"""),2.0)</f>
        <v>2</v>
      </c>
      <c r="G6" s="25">
        <f>IFERROR(__xludf.DUMMYFUNCTION("""COMPUTED_VALUE"""),2.0)</f>
        <v>2</v>
      </c>
      <c r="H6" s="29"/>
      <c r="I6" s="29"/>
    </row>
    <row r="7" hidden="1" outlineLevel="1">
      <c r="A7" s="1" t="str">
        <f>IFERROR(__xludf.DUMMYFUNCTION("""COMPUTED_VALUE"""),"Necrons - antheon of Woe (Gros-quick)")</f>
        <v>Necrons - antheon of Woe (Gros-quick)</v>
      </c>
      <c r="B7" s="25">
        <f>IFERROR(__xludf.DUMMYFUNCTION("""COMPUTED_VALUE"""),4.0)</f>
        <v>4</v>
      </c>
      <c r="C7" s="25">
        <f>IFERROR(__xludf.DUMMYFUNCTION("""COMPUTED_VALUE"""),3.0)</f>
        <v>3</v>
      </c>
      <c r="D7" s="25">
        <f>IFERROR(__xludf.DUMMYFUNCTION("""COMPUTED_VALUE"""),4.0)</f>
        <v>4</v>
      </c>
      <c r="E7" s="25">
        <f>IFERROR(__xludf.DUMMYFUNCTION("""COMPUTED_VALUE"""),2.0)</f>
        <v>2</v>
      </c>
      <c r="F7" s="25">
        <f>IFERROR(__xludf.DUMMYFUNCTION("""COMPUTED_VALUE"""),3.0)</f>
        <v>3</v>
      </c>
      <c r="G7" s="25">
        <f>IFERROR(__xludf.DUMMYFUNCTION("""COMPUTED_VALUE"""),2.0)</f>
        <v>2</v>
      </c>
      <c r="H7" s="29"/>
      <c r="I7" s="29"/>
    </row>
    <row r="8" hidden="1" outlineLevel="1">
      <c r="A8" s="1" t="str">
        <f>IFERROR(__xludf.DUMMYFUNCTION("""COMPUTED_VALUE"""),"Custodes - Ost Rempart (Al1lebalez)")</f>
        <v>Custodes - Ost Rempart (Al1lebalez)</v>
      </c>
      <c r="B8" s="25">
        <f>IFERROR(__xludf.DUMMYFUNCTION("""COMPUTED_VALUE"""),2.0)</f>
        <v>2</v>
      </c>
      <c r="C8" s="25">
        <f>IFERROR(__xludf.DUMMYFUNCTION("""COMPUTED_VALUE"""),3.0)</f>
        <v>3</v>
      </c>
      <c r="D8" s="25">
        <f>IFERROR(__xludf.DUMMYFUNCTION("""COMPUTED_VALUE"""),3.0)</f>
        <v>3</v>
      </c>
      <c r="E8" s="25">
        <f>IFERROR(__xludf.DUMMYFUNCTION("""COMPUTED_VALUE"""),5.0)</f>
        <v>5</v>
      </c>
      <c r="F8" s="25">
        <f>IFERROR(__xludf.DUMMYFUNCTION("""COMPUTED_VALUE"""),1.0)</f>
        <v>1</v>
      </c>
      <c r="G8" s="25">
        <f>IFERROR(__xludf.DUMMYFUNCTION("""COMPUTED_VALUE"""),4.0)</f>
        <v>4</v>
      </c>
      <c r="H8" s="29"/>
      <c r="I8" s="29"/>
    </row>
    <row r="9" hidden="1" outlineLevel="1">
      <c r="A9" s="1" t="str">
        <f>IFERROR(__xludf.DUMMYFUNCTION("""COMPUTED_VALUE"""),"Astra Militarum - Grizzled Company (Narza)")</f>
        <v>Astra Militarum - Grizzled Company (Narza)</v>
      </c>
      <c r="B9" s="25">
        <f>IFERROR(__xludf.DUMMYFUNCTION("""COMPUTED_VALUE"""),2.0)</f>
        <v>2</v>
      </c>
      <c r="C9" s="25">
        <f>IFERROR(__xludf.DUMMYFUNCTION("""COMPUTED_VALUE"""),3.0)</f>
        <v>3</v>
      </c>
      <c r="D9" s="25">
        <f>IFERROR(__xludf.DUMMYFUNCTION("""COMPUTED_VALUE"""),3.0)</f>
        <v>3</v>
      </c>
      <c r="E9" s="25">
        <f>IFERROR(__xludf.DUMMYFUNCTION("""COMPUTED_VALUE"""),3.0)</f>
        <v>3</v>
      </c>
      <c r="F9" s="25">
        <f>IFERROR(__xludf.DUMMYFUNCTION("""COMPUTED_VALUE"""),3.0)</f>
        <v>3</v>
      </c>
      <c r="G9" s="25">
        <f>IFERROR(__xludf.DUMMYFUNCTION("""COMPUTED_VALUE"""),2.0)</f>
        <v>2</v>
      </c>
      <c r="H9" s="29"/>
      <c r="I9" s="29"/>
    </row>
    <row r="10" hidden="1" outlineLevel="1">
      <c r="A10" s="1" t="str">
        <f>IFERROR(__xludf.DUMMYFUNCTION("""COMPUTED_VALUE"""),"World Eaters - Berzerker Warband (Vatrax)")</f>
        <v>World Eaters - Berzerker Warband (Vatrax)</v>
      </c>
      <c r="B10" s="25">
        <f>IFERROR(__xludf.DUMMYFUNCTION("""COMPUTED_VALUE"""),3.0)</f>
        <v>3</v>
      </c>
      <c r="C10" s="25">
        <f>IFERROR(__xludf.DUMMYFUNCTION("""COMPUTED_VALUE"""),2.0)</f>
        <v>2</v>
      </c>
      <c r="D10" s="25">
        <f>IFERROR(__xludf.DUMMYFUNCTION("""COMPUTED_VALUE"""),3.0)</f>
        <v>3</v>
      </c>
      <c r="E10" s="25">
        <f>IFERROR(__xludf.DUMMYFUNCTION("""COMPUTED_VALUE"""),4.0)</f>
        <v>4</v>
      </c>
      <c r="F10" s="25">
        <f>IFERROR(__xludf.DUMMYFUNCTION("""COMPUTED_VALUE"""),4.0)</f>
        <v>4</v>
      </c>
      <c r="G10" s="25">
        <f>IFERROR(__xludf.DUMMYFUNCTION("""COMPUTED_VALUE"""),2.0)</f>
        <v>2</v>
      </c>
      <c r="H10" s="29"/>
      <c r="I10" s="29"/>
    </row>
    <row r="11" hidden="1" outlineLevel="1"/>
    <row r="12" hidden="1" outlineLevel="1">
      <c r="A12" s="16" t="s">
        <v>39</v>
      </c>
    </row>
    <row r="13" hidden="1" outlineLevel="1">
      <c r="A13" s="1" t="str">
        <f t="array" ref="A13:G19">TRANSPOSE(A4:G10)</f>
        <v/>
      </c>
      <c r="B13" s="1" t="s">
        <v>134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</row>
    <row r="14" hidden="1" outlineLevel="1">
      <c r="A14" s="1" t="s">
        <v>48</v>
      </c>
      <c r="B14" s="25">
        <v>4.0</v>
      </c>
      <c r="C14" s="25">
        <v>3.0</v>
      </c>
      <c r="D14" s="25">
        <v>4.0</v>
      </c>
      <c r="E14" s="25">
        <v>2.0</v>
      </c>
      <c r="F14" s="25">
        <v>2.0</v>
      </c>
      <c r="G14" s="25">
        <v>3.0</v>
      </c>
    </row>
    <row r="15" hidden="1" outlineLevel="1">
      <c r="A15" s="1" t="s">
        <v>15</v>
      </c>
      <c r="B15" s="25">
        <v>3.0</v>
      </c>
      <c r="C15" s="25">
        <v>3.0</v>
      </c>
      <c r="D15" s="25">
        <v>3.0</v>
      </c>
      <c r="E15" s="25">
        <v>3.0</v>
      </c>
      <c r="F15" s="25">
        <v>3.0</v>
      </c>
      <c r="G15" s="25">
        <v>2.0</v>
      </c>
    </row>
    <row r="16" hidden="1" outlineLevel="1">
      <c r="A16" s="1" t="s">
        <v>16</v>
      </c>
      <c r="B16" s="25">
        <v>2.0</v>
      </c>
      <c r="C16" s="25">
        <v>4.0</v>
      </c>
      <c r="D16" s="25">
        <v>4.0</v>
      </c>
      <c r="E16" s="25">
        <v>3.0</v>
      </c>
      <c r="F16" s="25">
        <v>3.0</v>
      </c>
      <c r="G16" s="25">
        <v>3.0</v>
      </c>
    </row>
    <row r="17" hidden="1" outlineLevel="1">
      <c r="A17" s="1" t="s">
        <v>17</v>
      </c>
      <c r="B17" s="25">
        <v>4.0</v>
      </c>
      <c r="C17" s="25">
        <v>3.0</v>
      </c>
      <c r="D17" s="25">
        <v>2.0</v>
      </c>
      <c r="E17" s="25">
        <v>5.0</v>
      </c>
      <c r="F17" s="25">
        <v>3.0</v>
      </c>
      <c r="G17" s="25">
        <v>4.0</v>
      </c>
    </row>
    <row r="18" hidden="1" outlineLevel="1">
      <c r="A18" s="1" t="s">
        <v>18</v>
      </c>
      <c r="B18" s="25">
        <v>4.0</v>
      </c>
      <c r="C18" s="25">
        <v>2.0</v>
      </c>
      <c r="D18" s="25">
        <v>3.0</v>
      </c>
      <c r="E18" s="25">
        <v>1.0</v>
      </c>
      <c r="F18" s="25">
        <v>3.0</v>
      </c>
      <c r="G18" s="25">
        <v>4.0</v>
      </c>
    </row>
    <row r="19" hidden="1" outlineLevel="1">
      <c r="A19" s="1" t="s">
        <v>19</v>
      </c>
      <c r="B19" s="25">
        <v>3.0</v>
      </c>
      <c r="C19" s="25">
        <v>2.0</v>
      </c>
      <c r="D19" s="25">
        <v>2.0</v>
      </c>
      <c r="E19" s="25">
        <v>4.0</v>
      </c>
      <c r="F19" s="25">
        <v>2.0</v>
      </c>
      <c r="G19" s="25">
        <v>2.0</v>
      </c>
    </row>
    <row r="21">
      <c r="A21" s="14" t="s">
        <v>66</v>
      </c>
      <c r="B21" s="16" t="s">
        <v>24</v>
      </c>
      <c r="I21" s="16"/>
      <c r="J21" s="16"/>
    </row>
    <row r="22" outlineLevel="1">
      <c r="A22" s="39" t="s">
        <v>69</v>
      </c>
      <c r="C22" s="40"/>
      <c r="I22" s="16"/>
      <c r="J22" s="16"/>
    </row>
    <row r="23" outlineLevel="1">
      <c r="C23" s="41" t="s">
        <v>71</v>
      </c>
      <c r="D23" s="42" t="s">
        <v>72</v>
      </c>
      <c r="E23" s="43" t="s">
        <v>73</v>
      </c>
      <c r="F23" s="44" t="s">
        <v>77</v>
      </c>
      <c r="H23" s="12" t="s">
        <v>78</v>
      </c>
      <c r="I23" s="8" t="s">
        <v>80</v>
      </c>
      <c r="J23" s="8" t="s">
        <v>81</v>
      </c>
    </row>
    <row r="24" outlineLevel="1">
      <c r="A24" s="45" t="s">
        <v>82</v>
      </c>
      <c r="B24" s="46" t="s">
        <v>93</v>
      </c>
      <c r="C24" s="41"/>
      <c r="D24" s="48" t="str">
        <f>IFERROR(__xludf.DUMMYFUNCTION("QUERY($A$14:$G$19, CONCATENATE(""Select Col1 where Col"",match(B24,$A$4:$A$10,0),""&gt;3 and not  Col1 contains '"",$B$76,""'""),0)"),"#N/A")</f>
        <v>#N/A</v>
      </c>
      <c r="E24" s="49" t="str">
        <f>IFERROR(__xludf.DUMMYFUNCTION("QUERY($A$14:$G$19, CONCATENATE(""Select Col1 where Col"",match(B24,$A$4:$A$10,0),""=3 and not  Col1 contains '"",$B$76,""'""),0)"),"#N/A")</f>
        <v>#N/A</v>
      </c>
      <c r="F24" s="50" t="str">
        <f>IFERROR(__xludf.DUMMYFUNCTION("QUERY($A$14:$G$19, CONCATENATE(""Select Col1 where Col"",match(B24,$A$4:$A$10,0),""&lt;3 and not  Col1 contains '"",$B$76,""'""),0)"),"#N/A")</f>
        <v>#N/A</v>
      </c>
      <c r="H24" s="10" t="str">
        <f>IFERROR(__xludf.DUMMYFUNCTION("QUERY(A5:A10)"),"Space Wolf - Saga (Dorgda35)")</f>
        <v>Space Wolf - Saga (Dorgda35)</v>
      </c>
      <c r="I24" s="10" t="str">
        <f>IFERROR(__xludf.DUMMYFUNCTION("filter(H34:H39,H34:H39&lt;&gt;B34)"),"Dark Angel Gladius (Pharn Jonathan)")</f>
        <v>Dark Angel Gladius (Pharn Jonathan)</v>
      </c>
      <c r="J24" s="10" t="str">
        <f>IFERROR(__xludf.DUMMYFUNCTION("filter(H34:H39,H34:H39&lt;&gt;B34,H34:H39&lt;&gt;B25)"),"Dark Angel Gladius (Pharn Jonathan)")</f>
        <v>Dark Angel Gladius (Pharn Jonathan)</v>
      </c>
    </row>
    <row r="25" outlineLevel="1">
      <c r="A25" s="51" t="s">
        <v>104</v>
      </c>
      <c r="B25" s="52" t="s">
        <v>93</v>
      </c>
      <c r="C25" s="53" t="s">
        <v>3</v>
      </c>
      <c r="D25" s="48"/>
      <c r="E25" s="49"/>
      <c r="F25" s="50"/>
      <c r="H25" s="10" t="str">
        <f>IFERROR(__xludf.DUMMYFUNCTION("""COMPUTED_VALUE"""),"Chaos Knight - Lance Hordedogue (elfman35)")</f>
        <v>Chaos Knight - Lance Hordedogue (elfman35)</v>
      </c>
      <c r="I25" s="10" t="str">
        <f>IFERROR(__xludf.DUMMYFUNCTION("""COMPUTED_VALUE"""),"Necrons (AtadiloTho Jérome)")</f>
        <v>Necrons (AtadiloTho Jérome)</v>
      </c>
      <c r="J25" s="10" t="str">
        <f>IFERROR(__xludf.DUMMYFUNCTION("""COMPUTED_VALUE"""),"Necrons (AtadiloTho Jérome)")</f>
        <v>Necrons (AtadiloTho Jérome)</v>
      </c>
    </row>
    <row r="26" outlineLevel="1">
      <c r="A26" s="51" t="s">
        <v>105</v>
      </c>
      <c r="B26" s="52" t="s">
        <v>93</v>
      </c>
      <c r="C26" s="53" t="s">
        <v>3</v>
      </c>
      <c r="D26" s="48"/>
      <c r="E26" s="49"/>
      <c r="F26" s="50"/>
      <c r="H26" s="10" t="str">
        <f>IFERROR(__xludf.DUMMYFUNCTION("""COMPUTED_VALUE"""),"Necrons - antheon of Woe (Gros-quick)")</f>
        <v>Necrons - antheon of Woe (Gros-quick)</v>
      </c>
      <c r="I26" s="10" t="str">
        <f>IFERROR(__xludf.DUMMYFUNCTION("""COMPUTED_VALUE"""),"Tousand sons (Xeroxjager Antoine)")</f>
        <v>Tousand sons (Xeroxjager Antoine)</v>
      </c>
      <c r="J26" s="10" t="str">
        <f>IFERROR(__xludf.DUMMYFUNCTION("""COMPUTED_VALUE"""),"Tousand sons (Xeroxjager Antoine)")</f>
        <v>Tousand sons (Xeroxjager Antoine)</v>
      </c>
    </row>
    <row r="27" outlineLevel="1">
      <c r="A27" s="1"/>
      <c r="B27" s="1"/>
      <c r="C27" s="1"/>
      <c r="D27" s="48"/>
      <c r="E27" s="49"/>
      <c r="F27" s="50"/>
      <c r="H27" s="10" t="str">
        <f>IFERROR(__xludf.DUMMYFUNCTION("""COMPUTED_VALUE"""),"Custodes - Ost Rempart (Al1lebalez)")</f>
        <v>Custodes - Ost Rempart (Al1lebalez)</v>
      </c>
      <c r="I27" s="10" t="str">
        <f>IFERROR(__xludf.DUMMYFUNCTION("""COMPUTED_VALUE"""),"Tyranides (El_MoZo Morgan)")</f>
        <v>Tyranides (El_MoZo Morgan)</v>
      </c>
      <c r="J27" s="10" t="str">
        <f>IFERROR(__xludf.DUMMYFUNCTION("""COMPUTED_VALUE"""),"Tyranides (El_MoZo Morgan)")</f>
        <v>Tyranides (El_MoZo Morgan)</v>
      </c>
    </row>
    <row r="28" outlineLevel="1">
      <c r="A28" s="1"/>
      <c r="B28" s="1"/>
      <c r="C28" s="1"/>
      <c r="D28" s="48"/>
      <c r="E28" s="49"/>
      <c r="F28" s="50"/>
      <c r="H28" s="10" t="str">
        <f>IFERROR(__xludf.DUMMYFUNCTION("""COMPUTED_VALUE"""),"Astra Militarum - Grizzled Company (Narza)")</f>
        <v>Astra Militarum - Grizzled Company (Narza)</v>
      </c>
      <c r="I28" s="10" t="str">
        <f>IFERROR(__xludf.DUMMYFUNCTION("""COMPUTED_VALUE"""),"T au (DoubleRation David)")</f>
        <v>T au (DoubleRation David)</v>
      </c>
      <c r="J28" s="10" t="str">
        <f>IFERROR(__xludf.DUMMYFUNCTION("""COMPUTED_VALUE"""),"T au (DoubleRation David)")</f>
        <v>T au (DoubleRation David)</v>
      </c>
    </row>
    <row r="29" outlineLevel="1">
      <c r="H29" s="10" t="str">
        <f>IFERROR(__xludf.DUMMYFUNCTION("""COMPUTED_VALUE"""),"World Eaters - Berzerker Warband (Vatrax)")</f>
        <v>World Eaters - Berzerker Warband (Vatrax)</v>
      </c>
    </row>
    <row r="30" outlineLevel="1">
      <c r="H30" s="16" t="s">
        <v>93</v>
      </c>
      <c r="I30" s="16" t="s">
        <v>93</v>
      </c>
      <c r="J30" s="16" t="s">
        <v>93</v>
      </c>
    </row>
    <row r="31" outlineLevel="1"/>
    <row r="32" outlineLevel="1">
      <c r="A32" s="39" t="s">
        <v>108</v>
      </c>
      <c r="C32" s="40"/>
      <c r="I32" s="16"/>
      <c r="J32" s="16"/>
    </row>
    <row r="33" outlineLevel="1">
      <c r="C33" s="41" t="s">
        <v>71</v>
      </c>
      <c r="D33" s="54" t="s">
        <v>72</v>
      </c>
      <c r="E33" s="55" t="s">
        <v>73</v>
      </c>
      <c r="F33" s="56" t="s">
        <v>77</v>
      </c>
      <c r="H33" s="8" t="s">
        <v>109</v>
      </c>
      <c r="I33" s="12" t="s">
        <v>110</v>
      </c>
      <c r="J33" s="12" t="s">
        <v>111</v>
      </c>
    </row>
    <row r="34" outlineLevel="1">
      <c r="A34" s="57" t="s">
        <v>112</v>
      </c>
      <c r="B34" s="8" t="s">
        <v>18</v>
      </c>
      <c r="C34" s="41"/>
      <c r="D34" s="48" t="str">
        <f>IFERROR(__xludf.DUMMYFUNCTION("QUERY($A$5:$G$10, CONCATENATE(""Select Col1 where Col"",match(B34,$A$13:$A$19,0),""&gt;3 and not  Col1 contains '"",$B$73,""'""),0)"),"Space Wolf - Saga (Dorgda35)")</f>
        <v>Space Wolf - Saga (Dorgda35)</v>
      </c>
      <c r="E34" s="49" t="str">
        <f>IFERROR(__xludf.DUMMYFUNCTION("QUERY($A$5:$G$10, CONCATENATE(""Select Col1 where Col"",match(B34,$A$13:$A$19,0),""=3 and not  Col1 contains '"",$B$73,""'""),0)"),"Necrons - antheon of Woe (Gros-quick)")</f>
        <v>Necrons - antheon of Woe (Gros-quick)</v>
      </c>
      <c r="F34" s="50" t="str">
        <f>IFERROR(__xludf.DUMMYFUNCTION("QUERY($A$5:$G$10, CONCATENATE(""Select Col1 where Col"",match(B34,$A$13:$A$19,0),""&lt;3 and not  Col1 contains '"",$B$73,""'""),0)"),"Chaos Knight - Lance Hordedogue (elfman35)")</f>
        <v>Chaos Knight - Lance Hordedogue (elfman35)</v>
      </c>
      <c r="H34" s="10" t="str">
        <f>IFERROR(__xludf.DUMMYFUNCTION("QUERY(A14:A19)"),"Dark Angel Gladius (Pharn Jonathan)")</f>
        <v>Dark Angel Gladius (Pharn Jonathan)</v>
      </c>
      <c r="I34" s="10" t="str">
        <f>IFERROR(__xludf.DUMMYFUNCTION("filter(H24:H29,H24:H29&lt;&gt;B24)"),"Space Wolf - Saga (Dorgda35)")</f>
        <v>Space Wolf - Saga (Dorgda35)</v>
      </c>
      <c r="J34" s="10" t="str">
        <f>IFERROR(__xludf.DUMMYFUNCTION("filter(H24:H29,H24:H29&lt;&gt;B24,H24:H29&lt;&gt;B35)"),"Space Wolf - Saga (Dorgda35)")</f>
        <v>Space Wolf - Saga (Dorgda35)</v>
      </c>
    </row>
    <row r="35" outlineLevel="1">
      <c r="A35" s="58" t="s">
        <v>113</v>
      </c>
      <c r="B35" s="12" t="s">
        <v>135</v>
      </c>
      <c r="C35" s="53" t="s">
        <v>106</v>
      </c>
      <c r="D35" s="48" t="str">
        <f>IFERROR(__xludf.DUMMYFUNCTION("""COMPUTED_VALUE"""),"World Eaters - Berzerker Warband (Vatrax)")</f>
        <v>World Eaters - Berzerker Warband (Vatrax)</v>
      </c>
      <c r="E35" s="49" t="str">
        <f>IFERROR(__xludf.DUMMYFUNCTION("""COMPUTED_VALUE"""),"Astra Militarum - Grizzled Company (Narza)")</f>
        <v>Astra Militarum - Grizzled Company (Narza)</v>
      </c>
      <c r="F35" s="50" t="str">
        <f>IFERROR(__xludf.DUMMYFUNCTION("""COMPUTED_VALUE"""),"Custodes - Ost Rempart (Al1lebalez)")</f>
        <v>Custodes - Ost Rempart (Al1lebalez)</v>
      </c>
      <c r="H35" s="10" t="str">
        <f>IFERROR(__xludf.DUMMYFUNCTION("""COMPUTED_VALUE"""),"Necrons (AtadiloTho Jérome)")</f>
        <v>Necrons (AtadiloTho Jérome)</v>
      </c>
      <c r="I35" s="10" t="str">
        <f>IFERROR(__xludf.DUMMYFUNCTION("""COMPUTED_VALUE"""),"Chaos Knight - Lance Hordedogue (elfman35)")</f>
        <v>Chaos Knight - Lance Hordedogue (elfman35)</v>
      </c>
      <c r="J35" s="10" t="str">
        <f>IFERROR(__xludf.DUMMYFUNCTION("""COMPUTED_VALUE"""),"Necrons - antheon of Woe (Gros-quick)")</f>
        <v>Necrons - antheon of Woe (Gros-quick)</v>
      </c>
    </row>
    <row r="36" outlineLevel="1">
      <c r="A36" s="58" t="s">
        <v>114</v>
      </c>
      <c r="B36" s="12" t="s">
        <v>137</v>
      </c>
      <c r="C36" s="53" t="s">
        <v>107</v>
      </c>
      <c r="D36" s="48"/>
      <c r="E36" s="49"/>
      <c r="F36" s="50"/>
      <c r="H36" s="10" t="str">
        <f>IFERROR(__xludf.DUMMYFUNCTION("""COMPUTED_VALUE"""),"Tousand sons (Xeroxjager Antoine)")</f>
        <v>Tousand sons (Xeroxjager Antoine)</v>
      </c>
      <c r="I36" s="10" t="str">
        <f>IFERROR(__xludf.DUMMYFUNCTION("""COMPUTED_VALUE"""),"Necrons - antheon of Woe (Gros-quick)")</f>
        <v>Necrons - antheon of Woe (Gros-quick)</v>
      </c>
      <c r="J36" s="10" t="str">
        <f>IFERROR(__xludf.DUMMYFUNCTION("""COMPUTED_VALUE"""),"Custodes - Ost Rempart (Al1lebalez)")</f>
        <v>Custodes - Ost Rempart (Al1lebalez)</v>
      </c>
    </row>
    <row r="37" outlineLevel="1">
      <c r="A37" s="1"/>
      <c r="B37" s="1"/>
      <c r="C37" s="1"/>
      <c r="D37" s="48"/>
      <c r="E37" s="49"/>
      <c r="F37" s="50"/>
      <c r="H37" s="10" t="str">
        <f>IFERROR(__xludf.DUMMYFUNCTION("""COMPUTED_VALUE"""),"Tyranides (El_MoZo Morgan)")</f>
        <v>Tyranides (El_MoZo Morgan)</v>
      </c>
      <c r="I37" s="10" t="str">
        <f>IFERROR(__xludf.DUMMYFUNCTION("""COMPUTED_VALUE"""),"Custodes - Ost Rempart (Al1lebalez)")</f>
        <v>Custodes - Ost Rempart (Al1lebalez)</v>
      </c>
      <c r="J37" s="10" t="str">
        <f>IFERROR(__xludf.DUMMYFUNCTION("""COMPUTED_VALUE"""),"Astra Militarum - Grizzled Company (Narza)")</f>
        <v>Astra Militarum - Grizzled Company (Narza)</v>
      </c>
    </row>
    <row r="38" outlineLevel="1">
      <c r="A38" s="1"/>
      <c r="B38" s="1"/>
      <c r="C38" s="1"/>
      <c r="D38" s="48"/>
      <c r="E38" s="49"/>
      <c r="F38" s="50"/>
      <c r="H38" s="10" t="str">
        <f>IFERROR(__xludf.DUMMYFUNCTION("""COMPUTED_VALUE"""),"Astra Militarum (Punkachien Marc)")</f>
        <v>Astra Militarum (Punkachien Marc)</v>
      </c>
      <c r="I38" s="10" t="str">
        <f>IFERROR(__xludf.DUMMYFUNCTION("""COMPUTED_VALUE"""),"Astra Militarum - Grizzled Company (Narza)")</f>
        <v>Astra Militarum - Grizzled Company (Narza)</v>
      </c>
      <c r="J38" s="10" t="str">
        <f>IFERROR(__xludf.DUMMYFUNCTION("""COMPUTED_VALUE"""),"World Eaters - Berzerker Warband (Vatrax)")</f>
        <v>World Eaters - Berzerker Warband (Vatrax)</v>
      </c>
    </row>
    <row r="39" outlineLevel="1">
      <c r="H39" s="10" t="str">
        <f>IFERROR(__xludf.DUMMYFUNCTION("""COMPUTED_VALUE"""),"T au (DoubleRation David)")</f>
        <v>T au (DoubleRation David)</v>
      </c>
      <c r="I39" s="10" t="str">
        <f>IFERROR(__xludf.DUMMYFUNCTION("""COMPUTED_VALUE"""),"World Eaters - Berzerker Warband (Vatrax)")</f>
        <v>World Eaters - Berzerker Warband (Vatrax)</v>
      </c>
    </row>
    <row r="40" outlineLevel="1">
      <c r="H40" s="16" t="s">
        <v>93</v>
      </c>
      <c r="I40" s="16" t="s">
        <v>93</v>
      </c>
      <c r="J40" s="16" t="s">
        <v>93</v>
      </c>
    </row>
    <row r="42">
      <c r="A42" s="14" t="s">
        <v>115</v>
      </c>
      <c r="B42" s="16" t="s">
        <v>24</v>
      </c>
    </row>
    <row r="43" outlineLevel="1">
      <c r="A43" s="39" t="s">
        <v>69</v>
      </c>
      <c r="C43" s="40"/>
      <c r="I43" s="16"/>
      <c r="J43" s="16"/>
    </row>
    <row r="44" outlineLevel="1">
      <c r="C44" s="41" t="s">
        <v>71</v>
      </c>
      <c r="D44" s="42" t="s">
        <v>72</v>
      </c>
      <c r="E44" s="43" t="s">
        <v>73</v>
      </c>
      <c r="F44" s="44" t="s">
        <v>77</v>
      </c>
      <c r="H44" s="12" t="s">
        <v>78</v>
      </c>
      <c r="I44" s="8" t="s">
        <v>80</v>
      </c>
      <c r="J44" s="8" t="s">
        <v>81</v>
      </c>
    </row>
    <row r="45" outlineLevel="1">
      <c r="A45" s="45" t="s">
        <v>82</v>
      </c>
      <c r="B45" s="46" t="s">
        <v>93</v>
      </c>
      <c r="C45" s="41"/>
      <c r="D45" s="48" t="str">
        <f>IFERROR(__xludf.DUMMYFUNCTION("QUERY($A$14:$G$19, CONCATENATE(""Select Col1 where Col"",match(B45,$A$4:$A$10,0),""&gt;3 and not  Col1 contains '"",$B$76,""' and not  Col1 contains '"",$B$74,""' and not  Col1 contains '"",$B$82,""'""),0)"),"#N/A")</f>
        <v>#N/A</v>
      </c>
      <c r="E45" s="49" t="str">
        <f>IFERROR(__xludf.DUMMYFUNCTION("QUERY($A$14:$G$19, CONCATENATE(""Select Col1 where Col"",match(B45,$A$4:$A$10,0),""=3 and not  Col1 contains '"",$B$76,""' and not  Col1 contains '"",$B$74,""' and not  Col1 contains '"",$B$82,""'""),0)"),"#N/A")</f>
        <v>#N/A</v>
      </c>
      <c r="F45" s="50" t="str">
        <f>IFERROR(__xludf.DUMMYFUNCTION("QUERY($A$14:$G$19, CONCATENATE(""Select Col1 where Col"",match(B45,$A$4:$A$10,0),""&lt;3 and not  Col1 contains '"",$B$76,""' and not  Col1 contains '"",$B$74,""' and not  Col1 contains '"",$B$82,""'""),0)"),"#N/A")</f>
        <v>#N/A</v>
      </c>
      <c r="H45" s="10" t="str">
        <f>IFERROR(__xludf.DUMMYFUNCTION("filter(H24:H29,H24:H29&lt;&gt;B73,H24:H29&lt;&gt;B77)"),"Space Wolf - Saga (Dorgda35)")</f>
        <v>Space Wolf - Saga (Dorgda35)</v>
      </c>
      <c r="I45" s="10" t="str">
        <f>IFERROR(__xludf.DUMMYFUNCTION("filter(H55:H59,H55:H59&lt;&gt;B55)"),"")</f>
        <v/>
      </c>
      <c r="J45" s="10" t="str">
        <f>IFERROR(__xludf.DUMMYFUNCTION("filter(H55:H59,H55:H59&lt;&gt;B55,H55:H59&lt;&gt;B46)"),"")</f>
        <v/>
      </c>
    </row>
    <row r="46" outlineLevel="1">
      <c r="A46" s="51" t="s">
        <v>104</v>
      </c>
      <c r="B46" s="52" t="s">
        <v>93</v>
      </c>
      <c r="C46" s="53" t="s">
        <v>3</v>
      </c>
      <c r="D46" s="48"/>
      <c r="E46" s="49"/>
      <c r="F46" s="50"/>
      <c r="H46" s="10" t="str">
        <f>IFERROR(__xludf.DUMMYFUNCTION("""COMPUTED_VALUE"""),"Necrons - antheon of Woe (Gros-quick)")</f>
        <v>Necrons - antheon of Woe (Gros-quick)</v>
      </c>
      <c r="I46" s="10"/>
      <c r="J46" s="10"/>
    </row>
    <row r="47" outlineLevel="1">
      <c r="A47" s="51" t="s">
        <v>105</v>
      </c>
      <c r="B47" s="52" t="s">
        <v>93</v>
      </c>
      <c r="C47" s="53" t="s">
        <v>3</v>
      </c>
      <c r="D47" s="48"/>
      <c r="E47" s="49"/>
      <c r="F47" s="50"/>
      <c r="H47" s="10" t="str">
        <f>IFERROR(__xludf.DUMMYFUNCTION("""COMPUTED_VALUE"""),"Custodes - Ost Rempart (Al1lebalez)")</f>
        <v>Custodes - Ost Rempart (Al1lebalez)</v>
      </c>
      <c r="I47" s="10"/>
      <c r="J47" s="10"/>
    </row>
    <row r="48" outlineLevel="1">
      <c r="A48" s="1"/>
      <c r="B48" s="1"/>
      <c r="C48" s="1"/>
      <c r="D48" s="48"/>
      <c r="E48" s="49"/>
      <c r="F48" s="50"/>
      <c r="H48" s="10" t="str">
        <f>IFERROR(__xludf.DUMMYFUNCTION("""COMPUTED_VALUE"""),"Astra Militarum - Grizzled Company (Narza)")</f>
        <v>Astra Militarum - Grizzled Company (Narza)</v>
      </c>
      <c r="I48" s="10"/>
      <c r="J48" s="10"/>
    </row>
    <row r="49" outlineLevel="1">
      <c r="A49" s="1"/>
      <c r="B49" s="1"/>
      <c r="C49" s="1"/>
      <c r="D49" s="48"/>
      <c r="E49" s="49"/>
      <c r="F49" s="50"/>
      <c r="H49" s="10" t="str">
        <f>IFERROR(__xludf.DUMMYFUNCTION("""COMPUTED_VALUE"""),"World Eaters - Berzerker Warband (Vatrax)")</f>
        <v>World Eaters - Berzerker Warband (Vatrax)</v>
      </c>
    </row>
    <row r="50" outlineLevel="1">
      <c r="H50" s="16" t="s">
        <v>93</v>
      </c>
      <c r="I50" s="16" t="s">
        <v>93</v>
      </c>
      <c r="J50" s="16" t="s">
        <v>93</v>
      </c>
    </row>
    <row r="51" outlineLevel="1"/>
    <row r="52" outlineLevel="1"/>
    <row r="53" outlineLevel="1">
      <c r="A53" s="39" t="s">
        <v>108</v>
      </c>
      <c r="C53" s="40"/>
      <c r="I53" s="16"/>
      <c r="J53" s="16"/>
    </row>
    <row r="54" outlineLevel="1">
      <c r="C54" s="41" t="s">
        <v>71</v>
      </c>
      <c r="D54" s="54" t="s">
        <v>72</v>
      </c>
      <c r="E54" s="55" t="s">
        <v>73</v>
      </c>
      <c r="F54" s="56" t="s">
        <v>77</v>
      </c>
      <c r="H54" s="8" t="s">
        <v>109</v>
      </c>
      <c r="I54" s="12" t="s">
        <v>110</v>
      </c>
      <c r="J54" s="12" t="s">
        <v>111</v>
      </c>
    </row>
    <row r="55" outlineLevel="1">
      <c r="A55" s="51" t="s">
        <v>112</v>
      </c>
      <c r="B55" s="52" t="s">
        <v>93</v>
      </c>
      <c r="C55" s="41"/>
      <c r="D55" s="48" t="str">
        <f>IFERROR(__xludf.DUMMYFUNCTION("QUERY($A$5:$G$10, CONCATENATE(""Select Col1 where Col"",match(B55,$A$13:$A$19,0),""&gt;3 and not  Col1 contains '"",$B$73,""' and not  Col1 contains '"",$B$77,""' and not  Col1 contains '"",$B$79,""'""),0)"),"#N/A")</f>
        <v>#N/A</v>
      </c>
      <c r="E55" s="49" t="str">
        <f>IFERROR(__xludf.DUMMYFUNCTION("QUERY($A$5:$G$10, CONCATENATE(""Select Col1 where Col"",match(B55,$A$13:$A$19,0),""=3 and not  Col1 contains '"",$B$73,""' and not  Col1 contains '"",$B$77,""' and not  Col1 contains '"",$B$79,""'""),0)"),"#N/A")</f>
        <v>#N/A</v>
      </c>
      <c r="F55" s="50" t="str">
        <f>IFERROR(__xludf.DUMMYFUNCTION("QUERY($A$5:$G$10, CONCATENATE(""Select Col1 where Col"",match(B55,$A$13:$A$19,0),""&lt;3 and not  Col1 contains '"",$B$73,""' and not  Col1 contains '"",$B$77,""' and not  Col1 contains '"",$B$79,""'""),0)"),"#N/A")</f>
        <v>#N/A</v>
      </c>
      <c r="H55" s="10" t="str">
        <f>IFERROR(__xludf.DUMMYFUNCTION("filter(H34:H39,H34:H39&lt;&gt;B74,H34:H39&lt;&gt;B76)"),"#N/A")</f>
        <v>#N/A</v>
      </c>
      <c r="I55" s="10" t="str">
        <f>IFERROR(__xludf.DUMMYFUNCTION("filter(H45:H49,H45:H49&lt;&gt;B45)"),"Space Wolf - Saga (Dorgda35)")</f>
        <v>Space Wolf - Saga (Dorgda35)</v>
      </c>
      <c r="J55" s="10" t="str">
        <f>IFERROR(__xludf.DUMMYFUNCTION("filter(H45:H49,H45:H49&lt;&gt;B45,H45:H49&lt;&gt;B46)"),"Space Wolf - Saga (Dorgda35)")</f>
        <v>Space Wolf - Saga (Dorgda35)</v>
      </c>
    </row>
    <row r="56" outlineLevel="1">
      <c r="A56" s="45" t="s">
        <v>114</v>
      </c>
      <c r="B56" s="46" t="s">
        <v>93</v>
      </c>
      <c r="C56" s="53" t="s">
        <v>3</v>
      </c>
      <c r="D56" s="48"/>
      <c r="E56" s="49"/>
      <c r="F56" s="50"/>
      <c r="I56" s="10" t="str">
        <f>IFERROR(__xludf.DUMMYFUNCTION("""COMPUTED_VALUE"""),"Necrons - antheon of Woe (Gros-quick)")</f>
        <v>Necrons - antheon of Woe (Gros-quick)</v>
      </c>
      <c r="J56" s="10" t="str">
        <f>IFERROR(__xludf.DUMMYFUNCTION("""COMPUTED_VALUE"""),"Necrons - antheon of Woe (Gros-quick)")</f>
        <v>Necrons - antheon of Woe (Gros-quick)</v>
      </c>
    </row>
    <row r="57" outlineLevel="1">
      <c r="A57" s="45" t="s">
        <v>114</v>
      </c>
      <c r="B57" s="46" t="s">
        <v>93</v>
      </c>
      <c r="C57" s="53" t="s">
        <v>3</v>
      </c>
      <c r="D57" s="48"/>
      <c r="E57" s="49"/>
      <c r="F57" s="50"/>
      <c r="I57" s="10" t="str">
        <f>IFERROR(__xludf.DUMMYFUNCTION("""COMPUTED_VALUE"""),"Custodes - Ost Rempart (Al1lebalez)")</f>
        <v>Custodes - Ost Rempart (Al1lebalez)</v>
      </c>
      <c r="J57" s="10" t="str">
        <f>IFERROR(__xludf.DUMMYFUNCTION("""COMPUTED_VALUE"""),"Custodes - Ost Rempart (Al1lebalez)")</f>
        <v>Custodes - Ost Rempart (Al1lebalez)</v>
      </c>
    </row>
    <row r="58" outlineLevel="1">
      <c r="A58" s="1"/>
      <c r="B58" s="1"/>
      <c r="C58" s="1"/>
      <c r="D58" s="48"/>
      <c r="E58" s="49"/>
      <c r="F58" s="50"/>
      <c r="I58" s="10" t="str">
        <f>IFERROR(__xludf.DUMMYFUNCTION("""COMPUTED_VALUE"""),"Astra Militarum - Grizzled Company (Narza)")</f>
        <v>Astra Militarum - Grizzled Company (Narza)</v>
      </c>
      <c r="J58" s="10" t="str">
        <f>IFERROR(__xludf.DUMMYFUNCTION("""COMPUTED_VALUE"""),"Astra Militarum - Grizzled Company (Narza)")</f>
        <v>Astra Militarum - Grizzled Company (Narza)</v>
      </c>
    </row>
    <row r="59" outlineLevel="1">
      <c r="A59" s="1"/>
      <c r="B59" s="1"/>
      <c r="C59" s="1"/>
      <c r="D59" s="48"/>
      <c r="E59" s="49"/>
      <c r="F59" s="50"/>
      <c r="I59" s="10" t="str">
        <f>IFERROR(__xludf.DUMMYFUNCTION("""COMPUTED_VALUE"""),"World Eaters - Berzerker Warband (Vatrax)")</f>
        <v>World Eaters - Berzerker Warband (Vatrax)</v>
      </c>
      <c r="J59" s="10" t="str">
        <f>IFERROR(__xludf.DUMMYFUNCTION("""COMPUTED_VALUE"""),"World Eaters - Berzerker Warband (Vatrax)")</f>
        <v>World Eaters - Berzerker Warband (Vatrax)</v>
      </c>
    </row>
    <row r="60" outlineLevel="1">
      <c r="H60" s="16" t="s">
        <v>93</v>
      </c>
      <c r="I60" s="16" t="s">
        <v>93</v>
      </c>
      <c r="J60" s="16" t="s">
        <v>93</v>
      </c>
    </row>
    <row r="61" outlineLevel="1"/>
    <row r="62" outlineLevel="1"/>
    <row r="63" outlineLevel="1">
      <c r="A63" s="39" t="s">
        <v>116</v>
      </c>
    </row>
    <row r="64" outlineLevel="1"/>
    <row r="65" outlineLevel="1"/>
    <row r="68">
      <c r="A68" s="14" t="s">
        <v>117</v>
      </c>
    </row>
    <row r="70">
      <c r="A70" s="59" t="s">
        <v>118</v>
      </c>
      <c r="B70" s="16" t="s">
        <v>8</v>
      </c>
    </row>
    <row r="72">
      <c r="C72" s="60" t="s">
        <v>119</v>
      </c>
      <c r="D72" s="41" t="s">
        <v>120</v>
      </c>
      <c r="E72" s="41" t="s">
        <v>121</v>
      </c>
      <c r="F72" s="41" t="s">
        <v>122</v>
      </c>
    </row>
    <row r="73">
      <c r="A73" s="61" t="s">
        <v>123</v>
      </c>
      <c r="B73" s="46" t="str">
        <f>B24</f>
        <v> 🚧 Rien de selectionné 🚧</v>
      </c>
      <c r="C73" s="53" t="s">
        <v>3</v>
      </c>
      <c r="D73" s="62"/>
      <c r="E73" s="62"/>
      <c r="F73" s="63">
        <f>IF(D73&gt;D74,2,if(D73&lt;D74,0,1))</f>
        <v>1</v>
      </c>
    </row>
    <row r="74">
      <c r="A74" s="31"/>
      <c r="B74" s="52" t="str">
        <f>IFERROR(__xludf.DUMMYFUNCTION("FILTER(B25:B26,C25:C26=""Oui"")"),"#N/A")</f>
        <v>#N/A</v>
      </c>
      <c r="C74" s="53" t="s">
        <v>3</v>
      </c>
      <c r="D74" s="62"/>
      <c r="E74" s="62"/>
      <c r="F74" s="64">
        <f>2-F73</f>
        <v>1</v>
      </c>
    </row>
    <row r="75">
      <c r="A75" s="65" t="s">
        <v>124</v>
      </c>
      <c r="B75" s="53" t="s">
        <v>125</v>
      </c>
      <c r="F75" s="29"/>
    </row>
    <row r="76">
      <c r="A76" s="61" t="s">
        <v>123</v>
      </c>
      <c r="B76" s="52" t="str">
        <f>B34</f>
        <v>Astra Militarum (Punkachien Marc)</v>
      </c>
      <c r="C76" s="53" t="s">
        <v>3</v>
      </c>
      <c r="D76" s="62"/>
      <c r="E76" s="62"/>
      <c r="F76" s="64">
        <f>IF(D76&gt;D77,2,if(D76&lt;D77,0,1))</f>
        <v>1</v>
      </c>
    </row>
    <row r="77">
      <c r="A77" s="31"/>
      <c r="B77" s="46" t="str">
        <f>IFERROR(__xludf.DUMMYFUNCTION("FILTER(B35:B36,C35:C36=""Oui"")"),"Chaos Knight - Lance Hordedogue (elfman35)")</f>
        <v>Chaos Knight - Lance Hordedogue (elfman35)</v>
      </c>
      <c r="C77" s="53" t="s">
        <v>3</v>
      </c>
      <c r="D77" s="62"/>
      <c r="E77" s="62"/>
      <c r="F77" s="63">
        <f>2-F76</f>
        <v>1</v>
      </c>
    </row>
    <row r="78">
      <c r="A78" s="65" t="s">
        <v>124</v>
      </c>
      <c r="B78" s="53" t="s">
        <v>125</v>
      </c>
      <c r="F78" s="29"/>
    </row>
    <row r="79">
      <c r="A79" s="61" t="s">
        <v>123</v>
      </c>
      <c r="B79" s="46" t="str">
        <f>B45</f>
        <v> 🚧 Rien de selectionné 🚧</v>
      </c>
      <c r="C79" s="53" t="s">
        <v>3</v>
      </c>
      <c r="D79" s="62"/>
      <c r="E79" s="62"/>
      <c r="F79" s="63">
        <f>IF(D79&gt;D80,2,if(D79&lt;D80,0,1))</f>
        <v>1</v>
      </c>
    </row>
    <row r="80">
      <c r="A80" s="31"/>
      <c r="B80" s="52" t="str">
        <f>IFERROR(__xludf.DUMMYFUNCTION("FILTER(B46:B47,C46:C47=""Oui"")"),"#N/A")</f>
        <v>#N/A</v>
      </c>
      <c r="C80" s="53" t="s">
        <v>3</v>
      </c>
      <c r="D80" s="62"/>
      <c r="E80" s="62"/>
      <c r="F80" s="64">
        <f>2-F79</f>
        <v>1</v>
      </c>
    </row>
    <row r="81">
      <c r="A81" s="65" t="s">
        <v>124</v>
      </c>
      <c r="B81" s="53" t="s">
        <v>125</v>
      </c>
      <c r="F81" s="29"/>
    </row>
    <row r="82">
      <c r="A82" s="61" t="s">
        <v>123</v>
      </c>
      <c r="B82" s="52" t="str">
        <f>B55</f>
        <v> 🚧 Rien de selectionné 🚧</v>
      </c>
      <c r="C82" s="53" t="s">
        <v>3</v>
      </c>
      <c r="D82" s="62"/>
      <c r="E82" s="62"/>
      <c r="F82" s="64">
        <f>IF(D82&gt;D83,2,if(D82&lt;D83,0,1))</f>
        <v>1</v>
      </c>
    </row>
    <row r="83">
      <c r="A83" s="31"/>
      <c r="B83" s="46" t="str">
        <f>IFERROR(__xludf.DUMMYFUNCTION("FILTER(B56:B57,C56:C57=""Oui"")"),"#N/A")</f>
        <v>#N/A</v>
      </c>
      <c r="C83" s="53" t="s">
        <v>3</v>
      </c>
      <c r="D83" s="62"/>
      <c r="E83" s="62"/>
      <c r="F83" s="63">
        <f>2-F82</f>
        <v>1</v>
      </c>
    </row>
    <row r="84">
      <c r="A84" s="65" t="s">
        <v>124</v>
      </c>
      <c r="B84" s="53" t="s">
        <v>125</v>
      </c>
      <c r="F84" s="29"/>
    </row>
    <row r="85">
      <c r="A85" s="14" t="s">
        <v>126</v>
      </c>
      <c r="F85" s="29"/>
    </row>
    <row r="86">
      <c r="A86" s="61" t="s">
        <v>123</v>
      </c>
      <c r="B86" s="46" t="str">
        <f>IFERROR(__xludf.DUMMYFUNCTION("FILTER(B56:B57,C56:C57=""Non"")"),"#N/A")</f>
        <v>#N/A</v>
      </c>
      <c r="C86" s="53" t="s">
        <v>3</v>
      </c>
      <c r="D86" s="62"/>
      <c r="E86" s="62"/>
      <c r="F86" s="63">
        <f>IF(D86&gt;D87,2,if(D86&lt;D87,0,1))</f>
        <v>1</v>
      </c>
    </row>
    <row r="87">
      <c r="A87" s="31"/>
      <c r="B87" s="52" t="str">
        <f>IFERROR(__xludf.DUMMYFUNCTION("FILTER(B46:B47,C46:C47=""Non"")"),"#N/A")</f>
        <v>#N/A</v>
      </c>
      <c r="C87" s="53" t="s">
        <v>3</v>
      </c>
      <c r="D87" s="62"/>
      <c r="E87" s="62"/>
      <c r="F87" s="64">
        <f>2-F86</f>
        <v>1</v>
      </c>
    </row>
    <row r="88">
      <c r="A88" s="65" t="s">
        <v>124</v>
      </c>
      <c r="B88" s="53" t="s">
        <v>125</v>
      </c>
      <c r="F88" s="29"/>
    </row>
    <row r="89">
      <c r="A89" s="14" t="s">
        <v>127</v>
      </c>
      <c r="F89" s="29"/>
    </row>
    <row r="90">
      <c r="A90" s="61" t="s">
        <v>123</v>
      </c>
      <c r="B90" s="46" t="str">
        <f>IFERROR(__xludf.DUMMYFUNCTION("filter(H45:H48,H45:H48&lt;&gt;B79,H45:H48&lt;&gt;B83,H45:H48&lt;&gt;B86)"),"#N/A")</f>
        <v>#N/A</v>
      </c>
      <c r="C90" s="53" t="s">
        <v>3</v>
      </c>
      <c r="D90" s="62"/>
      <c r="E90" s="62"/>
      <c r="F90" s="63">
        <f>IF(D90&gt;D91,2,if(D90&lt;D91,0,1))</f>
        <v>1</v>
      </c>
    </row>
    <row r="91">
      <c r="A91" s="31"/>
      <c r="B91" s="52" t="str">
        <f>IFERROR(__xludf.DUMMYFUNCTION("FILTER(H55:H58,H55:H58&lt;&gt;B80,H55:H58&lt;&gt;B82,H55:H58&lt;&gt;B87)"),"#N/A")</f>
        <v>#N/A</v>
      </c>
      <c r="C91" s="53" t="s">
        <v>3</v>
      </c>
      <c r="D91" s="62"/>
      <c r="E91" s="62"/>
      <c r="F91" s="64">
        <f>2-F90</f>
        <v>1</v>
      </c>
    </row>
    <row r="92">
      <c r="A92" s="65" t="s">
        <v>124</v>
      </c>
      <c r="B92" s="53" t="s">
        <v>125</v>
      </c>
    </row>
    <row r="94">
      <c r="B94" s="66" t="s">
        <v>8</v>
      </c>
      <c r="C94" s="67"/>
      <c r="D94" s="68">
        <f t="shared" ref="D94:F94" si="1">D74+D76+D80+D82+D87+D91</f>
        <v>0</v>
      </c>
      <c r="E94" s="68">
        <f t="shared" si="1"/>
        <v>0</v>
      </c>
      <c r="F94" s="68">
        <f t="shared" si="1"/>
        <v>6</v>
      </c>
    </row>
    <row r="95">
      <c r="B95" s="69" t="s">
        <v>35</v>
      </c>
      <c r="C95" s="67"/>
      <c r="D95" s="70">
        <f t="shared" ref="D95:F95" si="2">D73+D77+D79+D83+D86+D90</f>
        <v>0</v>
      </c>
      <c r="E95" s="70">
        <f t="shared" si="2"/>
        <v>0</v>
      </c>
      <c r="F95" s="70">
        <f t="shared" si="2"/>
        <v>6</v>
      </c>
    </row>
  </sheetData>
  <mergeCells count="6">
    <mergeCell ref="A73:A74"/>
    <mergeCell ref="A76:A77"/>
    <mergeCell ref="A79:A80"/>
    <mergeCell ref="A82:A83"/>
    <mergeCell ref="A86:A87"/>
    <mergeCell ref="A90:A91"/>
  </mergeCells>
  <conditionalFormatting sqref="B5:I10 B14:G19">
    <cfRule type="colorScale" priority="1">
      <colorScale>
        <cfvo type="min"/>
        <cfvo type="formula" val="3"/>
        <cfvo type="max"/>
        <color rgb="FFFF0000"/>
        <color rgb="FFFFFF00"/>
        <color rgb="FF57BB8A"/>
      </colorScale>
    </cfRule>
  </conditionalFormatting>
  <dataValidations>
    <dataValidation type="list" allowBlank="1" showErrorMessage="1" sqref="B1">
      <formula1>" 🚧,1,2,3,4,5"</formula1>
    </dataValidation>
    <dataValidation type="list" allowBlank="1" showErrorMessage="1" sqref="B55">
      <formula1>'Ronde 4'!$H$55:$H$60</formula1>
    </dataValidation>
    <dataValidation type="list" allowBlank="1" showErrorMessage="1" sqref="B56">
      <formula1>'Ronde 4'!$I$55:$I$60</formula1>
    </dataValidation>
    <dataValidation type="list" allowBlank="1" showErrorMessage="1" sqref="B25">
      <formula1>$I$24:$I$30</formula1>
    </dataValidation>
    <dataValidation type="list" allowBlank="1" showErrorMessage="1" sqref="B47">
      <formula1>'Ronde 4'!$J$45:$J$50</formula1>
    </dataValidation>
    <dataValidation type="list" allowBlank="1" showErrorMessage="1" sqref="B45">
      <formula1>$H$45:$H$50</formula1>
    </dataValidation>
    <dataValidation type="list" allowBlank="1" showErrorMessage="1" sqref="B75 B78 B81 B84 B88 B92">
      <formula1>"🚧,Layout 1,Layout 2,Layout 3,Layout 4,Layout 5,Layout 6"</formula1>
    </dataValidation>
    <dataValidation type="list" allowBlank="1" showErrorMessage="1" sqref="B36">
      <formula1>$J$34:$J$40</formula1>
    </dataValidation>
    <dataValidation type="list" allowBlank="1" showErrorMessage="1" sqref="B70">
      <formula1>'Ronde 4'!$D$1:$D$2</formula1>
    </dataValidation>
    <dataValidation type="list" allowBlank="1" showErrorMessage="1" sqref="B34">
      <formula1>'Ronde 4'!$H$34:$H$40</formula1>
    </dataValidation>
    <dataValidation type="list" allowBlank="1" showErrorMessage="1" sqref="B46">
      <formula1>'Ronde 4'!$I$45:$I$50</formula1>
    </dataValidation>
    <dataValidation type="list" allowBlank="1" showErrorMessage="1" sqref="B35">
      <formula1>$I$34:$I$40</formula1>
    </dataValidation>
    <dataValidation type="list" allowBlank="1" showErrorMessage="1" sqref="B57">
      <formula1>'Ronde 4'!$J$55:$J$60</formula1>
    </dataValidation>
    <dataValidation type="list" allowBlank="1" showErrorMessage="1" sqref="C25:C26 C35:C36 C46:C47 C56:C57 C73:C74 C76:C77 C79:C80 C82:C83 C86:C87 C90:C91">
      <formula1>" 🚧,Oui,Non"</formula1>
    </dataValidation>
    <dataValidation type="list" allowBlank="1" showErrorMessage="1" sqref="B24">
      <formula1>$H$24:$H$30</formula1>
    </dataValidation>
    <dataValidation type="list" allowBlank="1" showErrorMessage="1" sqref="B26">
      <formula1>$J$24:$J$30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13"/>
    <col customWidth="1" min="2" max="2" width="36.88"/>
    <col customWidth="1" min="3" max="3" width="10.38"/>
    <col customWidth="1" min="4" max="6" width="31.25"/>
    <col customWidth="1" min="7" max="7" width="54.0"/>
    <col customWidth="1" min="8" max="10" width="27.25"/>
  </cols>
  <sheetData>
    <row r="1">
      <c r="A1" s="2" t="s">
        <v>0</v>
      </c>
      <c r="B1" s="5">
        <v>5.0</v>
      </c>
      <c r="C1" s="2" t="s">
        <v>6</v>
      </c>
      <c r="D1" s="8" t="s">
        <v>8</v>
      </c>
      <c r="E1" s="2" t="s">
        <v>10</v>
      </c>
      <c r="F1" s="10" t="str">
        <f>IFERROR(__xludf.DUMMYFUNCTION("QUERY(Rosters!A13:G42,CONCATENATE(""select Col7  where Col1="",B1, ""limit 1""))"),"J - Linchpin / Search and Destroy")</f>
        <v>J - Linchpin / Search and Destroy</v>
      </c>
    </row>
    <row r="2">
      <c r="C2" s="2" t="s">
        <v>12</v>
      </c>
      <c r="D2" s="12" t="str">
        <f>IFERROR(__xludf.DUMMYFUNCTION("QUERY(Estimes!A3:J32,CONCATENATE(""select Col4  where Col1="",B1, ""limit 1""))"),"LTA")</f>
        <v>LTA</v>
      </c>
    </row>
    <row r="3" collapsed="1">
      <c r="A3" s="14" t="s">
        <v>21</v>
      </c>
      <c r="B3" s="16" t="s">
        <v>24</v>
      </c>
    </row>
    <row r="4" hidden="1" outlineLevel="1">
      <c r="A4" s="6"/>
      <c r="B4" s="1" t="str">
        <f>IFERROR(__xludf.DUMMYFUNCTION("QUERY(Estimes!E2:J2)"),"Dark Angel Gladius (Pharn Jonathan)")</f>
        <v>Dark Angel Gladius (Pharn Jonathan)</v>
      </c>
      <c r="C4" s="1" t="str">
        <f>IFERROR(__xludf.DUMMYFUNCTION("""COMPUTED_VALUE"""),"Necrons (AtadiloTho Jérome)")</f>
        <v>Necrons (AtadiloTho Jérome)</v>
      </c>
      <c r="D4" s="1" t="str">
        <f>IFERROR(__xludf.DUMMYFUNCTION("""COMPUTED_VALUE"""),"Tousand sons (Xeroxjager Antoine)")</f>
        <v>Tousand sons (Xeroxjager Antoine)</v>
      </c>
      <c r="E4" s="1" t="str">
        <f>IFERROR(__xludf.DUMMYFUNCTION("""COMPUTED_VALUE"""),"Tyranides (El_MoZo Morgan)")</f>
        <v>Tyranides (El_MoZo Morgan)</v>
      </c>
      <c r="F4" s="1" t="str">
        <f>IFERROR(__xludf.DUMMYFUNCTION("""COMPUTED_VALUE"""),"Astra Militarum (Punkachien Marc)")</f>
        <v>Astra Militarum (Punkachien Marc)</v>
      </c>
      <c r="G4" s="1" t="str">
        <f>IFERROR(__xludf.DUMMYFUNCTION("""COMPUTED_VALUE"""),"T au (DoubleRation David)")</f>
        <v>T au (DoubleRation David)</v>
      </c>
    </row>
    <row r="5" hidden="1" outlineLevel="1">
      <c r="A5" s="1" t="str">
        <f>IFERROR(__xludf.DUMMYFUNCTION("QUERY(Estimes!A3:J32,CONCATENATE(""select Col2, Col5, Col6, Col7, Col8, Col9, Col10  where Col1="",B1))"),"Custodes - Shield Ost (Sideus)")</f>
        <v>Custodes - Shield Ost (Sideus)</v>
      </c>
      <c r="B5" s="25">
        <f>IFERROR(__xludf.DUMMYFUNCTION("""COMPUTED_VALUE"""),2.0)</f>
        <v>2</v>
      </c>
      <c r="C5" s="25">
        <f>IFERROR(__xludf.DUMMYFUNCTION("""COMPUTED_VALUE"""),2.0)</f>
        <v>2</v>
      </c>
      <c r="D5" s="25">
        <f>IFERROR(__xludf.DUMMYFUNCTION("""COMPUTED_VALUE"""),3.0)</f>
        <v>3</v>
      </c>
      <c r="E5" s="25">
        <f>IFERROR(__xludf.DUMMYFUNCTION("""COMPUTED_VALUE"""),5.0)</f>
        <v>5</v>
      </c>
      <c r="F5" s="25">
        <f>IFERROR(__xludf.DUMMYFUNCTION("""COMPUTED_VALUE"""),1.0)</f>
        <v>1</v>
      </c>
      <c r="G5" s="25">
        <f>IFERROR(__xludf.DUMMYFUNCTION("""COMPUTED_VALUE"""),4.0)</f>
        <v>4</v>
      </c>
      <c r="H5" s="29"/>
      <c r="I5" s="29"/>
    </row>
    <row r="6" hidden="1" outlineLevel="1">
      <c r="A6" s="1" t="str">
        <f>IFERROR(__xludf.DUMMYFUNCTION("""COMPUTED_VALUE"""),"Adeptus Mechanicus - HaloScreed (La Loutre)")</f>
        <v>Adeptus Mechanicus - HaloScreed (La Loutre)</v>
      </c>
      <c r="B6" s="25">
        <f>IFERROR(__xludf.DUMMYFUNCTION("""COMPUTED_VALUE"""),4.0)</f>
        <v>4</v>
      </c>
      <c r="C6" s="25">
        <f>IFERROR(__xludf.DUMMYFUNCTION("""COMPUTED_VALUE"""),3.0)</f>
        <v>3</v>
      </c>
      <c r="D6" s="25">
        <f>IFERROR(__xludf.DUMMYFUNCTION("""COMPUTED_VALUE"""),3.0)</f>
        <v>3</v>
      </c>
      <c r="E6" s="25">
        <f>IFERROR(__xludf.DUMMYFUNCTION("""COMPUTED_VALUE"""),3.0)</f>
        <v>3</v>
      </c>
      <c r="F6" s="25">
        <f>IFERROR(__xludf.DUMMYFUNCTION("""COMPUTED_VALUE"""),2.0)</f>
        <v>2</v>
      </c>
      <c r="G6" s="25">
        <f>IFERROR(__xludf.DUMMYFUNCTION("""COMPUTED_VALUE"""),3.0)</f>
        <v>3</v>
      </c>
      <c r="H6" s="29"/>
      <c r="I6" s="29"/>
    </row>
    <row r="7" hidden="1" outlineLevel="1">
      <c r="A7" s="1" t="str">
        <f>IFERROR(__xludf.DUMMYFUNCTION("""COMPUTED_VALUE"""),"Chaos Knight - Infernal Lance (S@rd)")</f>
        <v>Chaos Knight - Infernal Lance (S@rd)</v>
      </c>
      <c r="B7" s="25">
        <f>IFERROR(__xludf.DUMMYFUNCTION("""COMPUTED_VALUE"""),3.0)</f>
        <v>3</v>
      </c>
      <c r="C7" s="25">
        <f>IFERROR(__xludf.DUMMYFUNCTION("""COMPUTED_VALUE"""),4.0)</f>
        <v>4</v>
      </c>
      <c r="D7" s="25">
        <f>IFERROR(__xludf.DUMMYFUNCTION("""COMPUTED_VALUE"""),3.0)</f>
        <v>3</v>
      </c>
      <c r="E7" s="25">
        <f>IFERROR(__xludf.DUMMYFUNCTION("""COMPUTED_VALUE"""),2.0)</f>
        <v>2</v>
      </c>
      <c r="F7" s="25">
        <f>IFERROR(__xludf.DUMMYFUNCTION("""COMPUTED_VALUE"""),4.0)</f>
        <v>4</v>
      </c>
      <c r="G7" s="25">
        <f>IFERROR(__xludf.DUMMYFUNCTION("""COMPUTED_VALUE"""),2.0)</f>
        <v>2</v>
      </c>
      <c r="H7" s="29"/>
      <c r="I7" s="29"/>
    </row>
    <row r="8" hidden="1" outlineLevel="1">
      <c r="A8" s="1" t="str">
        <f>IFERROR(__xludf.DUMMYFUNCTION("""COMPUTED_VALUE"""),"Votann - Hearthband (Maniaka)")</f>
        <v>Votann - Hearthband (Maniaka)</v>
      </c>
      <c r="B8" s="25">
        <f>IFERROR(__xludf.DUMMYFUNCTION("""COMPUTED_VALUE"""),4.0)</f>
        <v>4</v>
      </c>
      <c r="C8" s="25">
        <f>IFERROR(__xludf.DUMMYFUNCTION("""COMPUTED_VALUE"""),4.0)</f>
        <v>4</v>
      </c>
      <c r="D8" s="25">
        <f>IFERROR(__xludf.DUMMYFUNCTION("""COMPUTED_VALUE"""),3.0)</f>
        <v>3</v>
      </c>
      <c r="E8" s="25">
        <f>IFERROR(__xludf.DUMMYFUNCTION("""COMPUTED_VALUE"""),4.0)</f>
        <v>4</v>
      </c>
      <c r="F8" s="25">
        <f>IFERROR(__xludf.DUMMYFUNCTION("""COMPUTED_VALUE"""),4.0)</f>
        <v>4</v>
      </c>
      <c r="G8" s="25">
        <f>IFERROR(__xludf.DUMMYFUNCTION("""COMPUTED_VALUE"""),4.0)</f>
        <v>4</v>
      </c>
      <c r="H8" s="29"/>
      <c r="I8" s="29"/>
    </row>
    <row r="9" hidden="1" outlineLevel="1">
      <c r="A9" s="1" t="str">
        <f>IFERROR(__xludf.DUMMYFUNCTION("""COMPUTED_VALUE"""),"DeathWatch - Black Spear (Pac)")</f>
        <v>DeathWatch - Black Spear (Pac)</v>
      </c>
      <c r="B9" s="25">
        <f>IFERROR(__xludf.DUMMYFUNCTION("""COMPUTED_VALUE"""),2.0)</f>
        <v>2</v>
      </c>
      <c r="C9" s="25">
        <f>IFERROR(__xludf.DUMMYFUNCTION("""COMPUTED_VALUE"""),3.0)</f>
        <v>3</v>
      </c>
      <c r="D9" s="25">
        <f>IFERROR(__xludf.DUMMYFUNCTION("""COMPUTED_VALUE"""),4.0)</f>
        <v>4</v>
      </c>
      <c r="E9" s="25">
        <f>IFERROR(__xludf.DUMMYFUNCTION("""COMPUTED_VALUE"""),5.0)</f>
        <v>5</v>
      </c>
      <c r="F9" s="25">
        <f>IFERROR(__xludf.DUMMYFUNCTION("""COMPUTED_VALUE"""),3.0)</f>
        <v>3</v>
      </c>
      <c r="G9" s="25">
        <f>IFERROR(__xludf.DUMMYFUNCTION("""COMPUTED_VALUE"""),3.0)</f>
        <v>3</v>
      </c>
      <c r="H9" s="29"/>
      <c r="I9" s="29"/>
    </row>
    <row r="10" hidden="1" outlineLevel="1">
      <c r="A10" s="1" t="str">
        <f>IFERROR(__xludf.DUMMYFUNCTION("""COMPUTED_VALUE"""),"Imperial Knights -  Questoris Companion (Joe.Gillian)")</f>
        <v>Imperial Knights -  Questoris Companion (Joe.Gillian)</v>
      </c>
      <c r="B10" s="25">
        <f>IFERROR(__xludf.DUMMYFUNCTION("""COMPUTED_VALUE"""),3.0)</f>
        <v>3</v>
      </c>
      <c r="C10" s="25">
        <f>IFERROR(__xludf.DUMMYFUNCTION("""COMPUTED_VALUE"""),4.0)</f>
        <v>4</v>
      </c>
      <c r="D10" s="25">
        <f>IFERROR(__xludf.DUMMYFUNCTION("""COMPUTED_VALUE"""),2.0)</f>
        <v>2</v>
      </c>
      <c r="E10" s="25">
        <f>IFERROR(__xludf.DUMMYFUNCTION("""COMPUTED_VALUE"""),2.0)</f>
        <v>2</v>
      </c>
      <c r="F10" s="25">
        <f>IFERROR(__xludf.DUMMYFUNCTION("""COMPUTED_VALUE"""),3.0)</f>
        <v>3</v>
      </c>
      <c r="G10" s="25">
        <f>IFERROR(__xludf.DUMMYFUNCTION("""COMPUTED_VALUE"""),2.0)</f>
        <v>2</v>
      </c>
      <c r="H10" s="29"/>
      <c r="I10" s="29"/>
    </row>
    <row r="11" hidden="1" outlineLevel="1"/>
    <row r="12" hidden="1" outlineLevel="1">
      <c r="A12" s="16" t="s">
        <v>39</v>
      </c>
    </row>
    <row r="13" hidden="1" outlineLevel="1">
      <c r="A13" s="1" t="str">
        <f t="array" ref="A13:G19">TRANSPOSE(A4:G10)</f>
        <v/>
      </c>
      <c r="B13" s="1" t="s">
        <v>140</v>
      </c>
      <c r="C13" s="1" t="s">
        <v>141</v>
      </c>
      <c r="D13" s="1" t="s">
        <v>142</v>
      </c>
      <c r="E13" s="1" t="s">
        <v>143</v>
      </c>
      <c r="F13" s="1" t="s">
        <v>144</v>
      </c>
      <c r="G13" s="1" t="s">
        <v>145</v>
      </c>
    </row>
    <row r="14" hidden="1" outlineLevel="1">
      <c r="A14" s="1" t="s">
        <v>48</v>
      </c>
      <c r="B14" s="25">
        <v>2.0</v>
      </c>
      <c r="C14" s="25">
        <v>4.0</v>
      </c>
      <c r="D14" s="25">
        <v>3.0</v>
      </c>
      <c r="E14" s="25">
        <v>4.0</v>
      </c>
      <c r="F14" s="25">
        <v>2.0</v>
      </c>
      <c r="G14" s="25">
        <v>3.0</v>
      </c>
    </row>
    <row r="15" hidden="1" outlineLevel="1">
      <c r="A15" s="1" t="s">
        <v>15</v>
      </c>
      <c r="B15" s="25">
        <v>2.0</v>
      </c>
      <c r="C15" s="25">
        <v>3.0</v>
      </c>
      <c r="D15" s="25">
        <v>4.0</v>
      </c>
      <c r="E15" s="25">
        <v>4.0</v>
      </c>
      <c r="F15" s="25">
        <v>3.0</v>
      </c>
      <c r="G15" s="25">
        <v>4.0</v>
      </c>
    </row>
    <row r="16" hidden="1" outlineLevel="1">
      <c r="A16" s="1" t="s">
        <v>16</v>
      </c>
      <c r="B16" s="25">
        <v>3.0</v>
      </c>
      <c r="C16" s="25">
        <v>3.0</v>
      </c>
      <c r="D16" s="25">
        <v>3.0</v>
      </c>
      <c r="E16" s="25">
        <v>3.0</v>
      </c>
      <c r="F16" s="25">
        <v>4.0</v>
      </c>
      <c r="G16" s="25">
        <v>2.0</v>
      </c>
    </row>
    <row r="17" hidden="1" outlineLevel="1">
      <c r="A17" s="1" t="s">
        <v>17</v>
      </c>
      <c r="B17" s="25">
        <v>5.0</v>
      </c>
      <c r="C17" s="25">
        <v>3.0</v>
      </c>
      <c r="D17" s="25">
        <v>2.0</v>
      </c>
      <c r="E17" s="25">
        <v>4.0</v>
      </c>
      <c r="F17" s="25">
        <v>5.0</v>
      </c>
      <c r="G17" s="25">
        <v>2.0</v>
      </c>
    </row>
    <row r="18" hidden="1" outlineLevel="1">
      <c r="A18" s="1" t="s">
        <v>18</v>
      </c>
      <c r="B18" s="25">
        <v>1.0</v>
      </c>
      <c r="C18" s="25">
        <v>2.0</v>
      </c>
      <c r="D18" s="25">
        <v>4.0</v>
      </c>
      <c r="E18" s="25">
        <v>4.0</v>
      </c>
      <c r="F18" s="25">
        <v>3.0</v>
      </c>
      <c r="G18" s="25">
        <v>3.0</v>
      </c>
    </row>
    <row r="19" hidden="1" outlineLevel="1">
      <c r="A19" s="1" t="s">
        <v>19</v>
      </c>
      <c r="B19" s="25">
        <v>4.0</v>
      </c>
      <c r="C19" s="25">
        <v>3.0</v>
      </c>
      <c r="D19" s="25">
        <v>2.0</v>
      </c>
      <c r="E19" s="25">
        <v>4.0</v>
      </c>
      <c r="F19" s="25">
        <v>3.0</v>
      </c>
      <c r="G19" s="25">
        <v>2.0</v>
      </c>
    </row>
    <row r="21">
      <c r="A21" s="14" t="s">
        <v>66</v>
      </c>
      <c r="B21" s="16" t="s">
        <v>24</v>
      </c>
      <c r="I21" s="16"/>
      <c r="J21" s="16"/>
    </row>
    <row r="22" outlineLevel="1">
      <c r="A22" s="39" t="s">
        <v>69</v>
      </c>
      <c r="C22" s="40"/>
      <c r="I22" s="16"/>
      <c r="J22" s="16"/>
    </row>
    <row r="23" outlineLevel="1">
      <c r="C23" s="41" t="s">
        <v>71</v>
      </c>
      <c r="D23" s="42" t="s">
        <v>72</v>
      </c>
      <c r="E23" s="43" t="s">
        <v>73</v>
      </c>
      <c r="F23" s="44" t="s">
        <v>77</v>
      </c>
      <c r="H23" s="12" t="s">
        <v>78</v>
      </c>
      <c r="I23" s="8" t="s">
        <v>80</v>
      </c>
      <c r="J23" s="8" t="s">
        <v>81</v>
      </c>
    </row>
    <row r="24" outlineLevel="1">
      <c r="A24" s="45" t="s">
        <v>82</v>
      </c>
      <c r="B24" s="46" t="s">
        <v>141</v>
      </c>
      <c r="C24" s="41"/>
      <c r="D24" s="48" t="str">
        <f>IFERROR(__xludf.DUMMYFUNCTION("QUERY($A$14:$G$19, CONCATENATE(""Select Col1 where Col"",match(B24,$A$4:$A$10,0),""&gt;3 and not  Col1 contains '"",$B$76,""'""),0)"),"Dark Angel Gladius (Pharn Jonathan)")</f>
        <v>Dark Angel Gladius (Pharn Jonathan)</v>
      </c>
      <c r="E24" s="49" t="str">
        <f>IFERROR(__xludf.DUMMYFUNCTION("QUERY($A$14:$G$19, CONCATENATE(""Select Col1 where Col"",match(B24,$A$4:$A$10,0),""=3 and not  Col1 contains '"",$B$76,""'""),0)"),"Necrons (AtadiloTho Jérome)")</f>
        <v>Necrons (AtadiloTho Jérome)</v>
      </c>
      <c r="F24" s="50" t="str">
        <f>IFERROR(__xludf.DUMMYFUNCTION("QUERY($A$14:$G$19, CONCATENATE(""Select Col1 where Col"",match(B24,$A$4:$A$10,0),""&lt;3 and not  Col1 contains '"",$B$76,""'""),0)"),"Astra Militarum (Punkachien Marc)")</f>
        <v>Astra Militarum (Punkachien Marc)</v>
      </c>
      <c r="H24" s="10" t="str">
        <f>IFERROR(__xludf.DUMMYFUNCTION("QUERY(A5:A10)"),"Custodes - Shield Ost (Sideus)")</f>
        <v>Custodes - Shield Ost (Sideus)</v>
      </c>
      <c r="I24" s="10" t="str">
        <f>IFERROR(__xludf.DUMMYFUNCTION("filter(H34:H39,H34:H39&lt;&gt;B34)"),"Dark Angel Gladius (Pharn Jonathan)")</f>
        <v>Dark Angel Gladius (Pharn Jonathan)</v>
      </c>
      <c r="J24" s="10" t="str">
        <f>IFERROR(__xludf.DUMMYFUNCTION("filter(H34:H39,H34:H39&lt;&gt;B34,H34:H39&lt;&gt;B25)"),"Dark Angel Gladius (Pharn Jonathan)")</f>
        <v>Dark Angel Gladius (Pharn Jonathan)</v>
      </c>
    </row>
    <row r="25" outlineLevel="1">
      <c r="A25" s="51" t="s">
        <v>104</v>
      </c>
      <c r="B25" s="52" t="s">
        <v>19</v>
      </c>
      <c r="C25" s="53" t="s">
        <v>106</v>
      </c>
      <c r="D25" s="48"/>
      <c r="E25" s="49" t="str">
        <f>IFERROR(__xludf.DUMMYFUNCTION("""COMPUTED_VALUE"""),"Tousand sons (Xeroxjager Antoine)")</f>
        <v>Tousand sons (Xeroxjager Antoine)</v>
      </c>
      <c r="F25" s="50"/>
      <c r="H25" s="10" t="str">
        <f>IFERROR(__xludf.DUMMYFUNCTION("""COMPUTED_VALUE"""),"Adeptus Mechanicus - HaloScreed (La Loutre)")</f>
        <v>Adeptus Mechanicus - HaloScreed (La Loutre)</v>
      </c>
      <c r="I25" s="10" t="str">
        <f>IFERROR(__xludf.DUMMYFUNCTION("""COMPUTED_VALUE"""),"Necrons (AtadiloTho Jérome)")</f>
        <v>Necrons (AtadiloTho Jérome)</v>
      </c>
      <c r="J25" s="10" t="str">
        <f>IFERROR(__xludf.DUMMYFUNCTION("""COMPUTED_VALUE"""),"Necrons (AtadiloTho Jérome)")</f>
        <v>Necrons (AtadiloTho Jérome)</v>
      </c>
    </row>
    <row r="26" outlineLevel="1">
      <c r="A26" s="51" t="s">
        <v>105</v>
      </c>
      <c r="B26" s="52" t="s">
        <v>16</v>
      </c>
      <c r="C26" s="53" t="s">
        <v>107</v>
      </c>
      <c r="D26" s="48"/>
      <c r="E26" s="49" t="str">
        <f>IFERROR(__xludf.DUMMYFUNCTION("""COMPUTED_VALUE"""),"T au (DoubleRation David)")</f>
        <v>T au (DoubleRation David)</v>
      </c>
      <c r="F26" s="50"/>
      <c r="H26" s="10" t="str">
        <f>IFERROR(__xludf.DUMMYFUNCTION("""COMPUTED_VALUE"""),"Chaos Knight - Infernal Lance (S@rd)")</f>
        <v>Chaos Knight - Infernal Lance (S@rd)</v>
      </c>
      <c r="I26" s="10" t="str">
        <f>IFERROR(__xludf.DUMMYFUNCTION("""COMPUTED_VALUE"""),"Tousand sons (Xeroxjager Antoine)")</f>
        <v>Tousand sons (Xeroxjager Antoine)</v>
      </c>
      <c r="J26" s="10" t="str">
        <f>IFERROR(__xludf.DUMMYFUNCTION("""COMPUTED_VALUE"""),"Tousand sons (Xeroxjager Antoine)")</f>
        <v>Tousand sons (Xeroxjager Antoine)</v>
      </c>
    </row>
    <row r="27" outlineLevel="1">
      <c r="A27" s="1"/>
      <c r="B27" s="1"/>
      <c r="C27" s="1"/>
      <c r="D27" s="48"/>
      <c r="E27" s="49"/>
      <c r="F27" s="50"/>
      <c r="H27" s="10" t="str">
        <f>IFERROR(__xludf.DUMMYFUNCTION("""COMPUTED_VALUE"""),"Votann - Hearthband (Maniaka)")</f>
        <v>Votann - Hearthband (Maniaka)</v>
      </c>
      <c r="I27" s="10" t="str">
        <f>IFERROR(__xludf.DUMMYFUNCTION("""COMPUTED_VALUE"""),"Astra Militarum (Punkachien Marc)")</f>
        <v>Astra Militarum (Punkachien Marc)</v>
      </c>
      <c r="J27" s="10" t="str">
        <f>IFERROR(__xludf.DUMMYFUNCTION("""COMPUTED_VALUE"""),"Astra Militarum (Punkachien Marc)")</f>
        <v>Astra Militarum (Punkachien Marc)</v>
      </c>
    </row>
    <row r="28" outlineLevel="1">
      <c r="A28" s="1"/>
      <c r="B28" s="1"/>
      <c r="C28" s="1"/>
      <c r="D28" s="48"/>
      <c r="E28" s="49"/>
      <c r="F28" s="50"/>
      <c r="H28" s="10" t="str">
        <f>IFERROR(__xludf.DUMMYFUNCTION("""COMPUTED_VALUE"""),"DeathWatch - Black Spear (Pac)")</f>
        <v>DeathWatch - Black Spear (Pac)</v>
      </c>
      <c r="I28" s="10" t="str">
        <f>IFERROR(__xludf.DUMMYFUNCTION("""COMPUTED_VALUE"""),"T au (DoubleRation David)")</f>
        <v>T au (DoubleRation David)</v>
      </c>
    </row>
    <row r="29" outlineLevel="1">
      <c r="H29" s="10" t="str">
        <f>IFERROR(__xludf.DUMMYFUNCTION("""COMPUTED_VALUE"""),"Imperial Knights -  Questoris Companion (Joe.Gillian)")</f>
        <v>Imperial Knights -  Questoris Companion (Joe.Gillian)</v>
      </c>
    </row>
    <row r="30" outlineLevel="1">
      <c r="H30" s="16" t="s">
        <v>93</v>
      </c>
      <c r="I30" s="16" t="s">
        <v>93</v>
      </c>
      <c r="J30" s="16" t="s">
        <v>93</v>
      </c>
    </row>
    <row r="31" outlineLevel="1"/>
    <row r="32" outlineLevel="1">
      <c r="A32" s="39" t="s">
        <v>108</v>
      </c>
      <c r="C32" s="40"/>
      <c r="I32" s="16"/>
      <c r="J32" s="16"/>
    </row>
    <row r="33" outlineLevel="1">
      <c r="C33" s="41" t="s">
        <v>71</v>
      </c>
      <c r="D33" s="54" t="s">
        <v>72</v>
      </c>
      <c r="E33" s="55" t="s">
        <v>73</v>
      </c>
      <c r="F33" s="56" t="s">
        <v>77</v>
      </c>
      <c r="H33" s="8" t="s">
        <v>109</v>
      </c>
      <c r="I33" s="12" t="s">
        <v>110</v>
      </c>
      <c r="J33" s="12" t="s">
        <v>111</v>
      </c>
    </row>
    <row r="34" outlineLevel="1">
      <c r="A34" s="57" t="s">
        <v>112</v>
      </c>
      <c r="B34" s="8" t="s">
        <v>17</v>
      </c>
      <c r="C34" s="41"/>
      <c r="D34" s="48" t="str">
        <f>IFERROR(__xludf.DUMMYFUNCTION("QUERY($A$5:$G$10, CONCATENATE(""Select Col1 where Col"",match(B34,$A$13:$A$19,0),""&gt;3 and not  Col1 contains '"",$B$73,""'""),0)"),"Custodes - Shield Ost (Sideus)")</f>
        <v>Custodes - Shield Ost (Sideus)</v>
      </c>
      <c r="E34" s="49" t="str">
        <f>IFERROR(__xludf.DUMMYFUNCTION("QUERY($A$5:$G$10, CONCATENATE(""Select Col1 where Col"",match(B34,$A$13:$A$19,0),""=3 and not  Col1 contains '"",$B$73,""'""),0)"),"#N/A")</f>
        <v>#N/A</v>
      </c>
      <c r="F34" s="50" t="str">
        <f>IFERROR(__xludf.DUMMYFUNCTION("QUERY($A$5:$G$10, CONCATENATE(""Select Col1 where Col"",match(B34,$A$13:$A$19,0),""&lt;3 and not  Col1 contains '"",$B$73,""'""),0)"),"Chaos Knight - Infernal Lance (S@rd)")</f>
        <v>Chaos Knight - Infernal Lance (S@rd)</v>
      </c>
      <c r="H34" s="10" t="str">
        <f>IFERROR(__xludf.DUMMYFUNCTION("QUERY(A14:A19)"),"Dark Angel Gladius (Pharn Jonathan)")</f>
        <v>Dark Angel Gladius (Pharn Jonathan)</v>
      </c>
      <c r="I34" s="10" t="str">
        <f>IFERROR(__xludf.DUMMYFUNCTION("filter(H24:H29,H24:H29&lt;&gt;B24)"),"Custodes - Shield Ost (Sideus)")</f>
        <v>Custodes - Shield Ost (Sideus)</v>
      </c>
      <c r="J34" s="10" t="str">
        <f>IFERROR(__xludf.DUMMYFUNCTION("filter(H24:H29,H24:H29&lt;&gt;B24,H24:H29&lt;&gt;B35)"),"Custodes - Shield Ost (Sideus)")</f>
        <v>Custodes - Shield Ost (Sideus)</v>
      </c>
    </row>
    <row r="35" outlineLevel="1">
      <c r="A35" s="58" t="s">
        <v>113</v>
      </c>
      <c r="B35" s="12" t="s">
        <v>142</v>
      </c>
      <c r="C35" s="53" t="s">
        <v>106</v>
      </c>
      <c r="D35" s="48" t="str">
        <f>IFERROR(__xludf.DUMMYFUNCTION("""COMPUTED_VALUE"""),"Votann - Hearthband (Maniaka)")</f>
        <v>Votann - Hearthband (Maniaka)</v>
      </c>
      <c r="E35" s="49"/>
      <c r="F35" s="50" t="str">
        <f>IFERROR(__xludf.DUMMYFUNCTION("""COMPUTED_VALUE"""),"Imperial Knights -  Questoris Companion (Joe.Gillian)")</f>
        <v>Imperial Knights -  Questoris Companion (Joe.Gillian)</v>
      </c>
      <c r="H35" s="10" t="str">
        <f>IFERROR(__xludf.DUMMYFUNCTION("""COMPUTED_VALUE"""),"Necrons (AtadiloTho Jérome)")</f>
        <v>Necrons (AtadiloTho Jérome)</v>
      </c>
      <c r="I35" s="10" t="str">
        <f>IFERROR(__xludf.DUMMYFUNCTION("""COMPUTED_VALUE"""),"Chaos Knight - Infernal Lance (S@rd)")</f>
        <v>Chaos Knight - Infernal Lance (S@rd)</v>
      </c>
      <c r="J35" s="10" t="str">
        <f>IFERROR(__xludf.DUMMYFUNCTION("""COMPUTED_VALUE"""),"Votann - Hearthband (Maniaka)")</f>
        <v>Votann - Hearthband (Maniaka)</v>
      </c>
    </row>
    <row r="36" outlineLevel="1">
      <c r="A36" s="58" t="s">
        <v>114</v>
      </c>
      <c r="B36" s="12" t="s">
        <v>145</v>
      </c>
      <c r="C36" s="53" t="s">
        <v>107</v>
      </c>
      <c r="D36" s="48" t="str">
        <f>IFERROR(__xludf.DUMMYFUNCTION("""COMPUTED_VALUE"""),"DeathWatch - Black Spear (Pac)")</f>
        <v>DeathWatch - Black Spear (Pac)</v>
      </c>
      <c r="E36" s="49"/>
      <c r="F36" s="50"/>
      <c r="H36" s="10" t="str">
        <f>IFERROR(__xludf.DUMMYFUNCTION("""COMPUTED_VALUE"""),"Tousand sons (Xeroxjager Antoine)")</f>
        <v>Tousand sons (Xeroxjager Antoine)</v>
      </c>
      <c r="I36" s="10" t="str">
        <f>IFERROR(__xludf.DUMMYFUNCTION("""COMPUTED_VALUE"""),"Votann - Hearthband (Maniaka)")</f>
        <v>Votann - Hearthband (Maniaka)</v>
      </c>
      <c r="J36" s="10" t="str">
        <f>IFERROR(__xludf.DUMMYFUNCTION("""COMPUTED_VALUE"""),"DeathWatch - Black Spear (Pac)")</f>
        <v>DeathWatch - Black Spear (Pac)</v>
      </c>
    </row>
    <row r="37" outlineLevel="1">
      <c r="A37" s="1"/>
      <c r="B37" s="1"/>
      <c r="C37" s="1"/>
      <c r="D37" s="48"/>
      <c r="E37" s="49"/>
      <c r="F37" s="50"/>
      <c r="H37" s="10" t="str">
        <f>IFERROR(__xludf.DUMMYFUNCTION("""COMPUTED_VALUE"""),"Tyranides (El_MoZo Morgan)")</f>
        <v>Tyranides (El_MoZo Morgan)</v>
      </c>
      <c r="I37" s="10" t="str">
        <f>IFERROR(__xludf.DUMMYFUNCTION("""COMPUTED_VALUE"""),"DeathWatch - Black Spear (Pac)")</f>
        <v>DeathWatch - Black Spear (Pac)</v>
      </c>
      <c r="J37" s="10" t="str">
        <f>IFERROR(__xludf.DUMMYFUNCTION("""COMPUTED_VALUE"""),"Imperial Knights -  Questoris Companion (Joe.Gillian)")</f>
        <v>Imperial Knights -  Questoris Companion (Joe.Gillian)</v>
      </c>
    </row>
    <row r="38" outlineLevel="1">
      <c r="A38" s="1"/>
      <c r="B38" s="1"/>
      <c r="C38" s="1"/>
      <c r="D38" s="48"/>
      <c r="E38" s="49"/>
      <c r="F38" s="50"/>
      <c r="H38" s="10" t="str">
        <f>IFERROR(__xludf.DUMMYFUNCTION("""COMPUTED_VALUE"""),"Astra Militarum (Punkachien Marc)")</f>
        <v>Astra Militarum (Punkachien Marc)</v>
      </c>
      <c r="I38" s="10" t="str">
        <f>IFERROR(__xludf.DUMMYFUNCTION("""COMPUTED_VALUE"""),"Imperial Knights -  Questoris Companion (Joe.Gillian)")</f>
        <v>Imperial Knights -  Questoris Companion (Joe.Gillian)</v>
      </c>
    </row>
    <row r="39" outlineLevel="1">
      <c r="H39" s="10" t="str">
        <f>IFERROR(__xludf.DUMMYFUNCTION("""COMPUTED_VALUE"""),"T au (DoubleRation David)")</f>
        <v>T au (DoubleRation David)</v>
      </c>
    </row>
    <row r="40" outlineLevel="1">
      <c r="H40" s="16" t="s">
        <v>93</v>
      </c>
      <c r="I40" s="16" t="s">
        <v>93</v>
      </c>
      <c r="J40" s="16" t="s">
        <v>93</v>
      </c>
    </row>
    <row r="42">
      <c r="A42" s="14" t="s">
        <v>115</v>
      </c>
      <c r="B42" s="16" t="s">
        <v>24</v>
      </c>
    </row>
    <row r="43" outlineLevel="1">
      <c r="A43" s="39" t="s">
        <v>69</v>
      </c>
      <c r="C43" s="40"/>
      <c r="I43" s="16"/>
      <c r="J43" s="16"/>
    </row>
    <row r="44" outlineLevel="1">
      <c r="C44" s="41" t="s">
        <v>71</v>
      </c>
      <c r="D44" s="42" t="s">
        <v>72</v>
      </c>
      <c r="E44" s="43" t="s">
        <v>73</v>
      </c>
      <c r="F44" s="44" t="s">
        <v>77</v>
      </c>
      <c r="H44" s="12" t="s">
        <v>78</v>
      </c>
      <c r="I44" s="8" t="s">
        <v>80</v>
      </c>
      <c r="J44" s="8" t="s">
        <v>81</v>
      </c>
    </row>
    <row r="45" outlineLevel="1">
      <c r="A45" s="45" t="s">
        <v>82</v>
      </c>
      <c r="B45" s="46" t="s">
        <v>140</v>
      </c>
      <c r="C45" s="41"/>
      <c r="D45" s="48" t="str">
        <f>IFERROR(__xludf.DUMMYFUNCTION("QUERY($A$14:$G$19, CONCATENATE(""Select Col1 where Col"",match(B45,$A$4:$A$10,0),""&gt;3 and not  Col1 contains '"",$B$76,""' and not  Col1 contains '"",$B$74,""' and not  Col1 contains '"",$B$82,""'""),0)"),"#N/A")</f>
        <v>#N/A</v>
      </c>
      <c r="E45" s="49" t="str">
        <f>IFERROR(__xludf.DUMMYFUNCTION("QUERY($A$14:$G$19, CONCATENATE(""Select Col1 where Col"",match(B45,$A$4:$A$10,0),""=3 and not  Col1 contains '"",$B$76,""' and not  Col1 contains '"",$B$74,""' and not  Col1 contains '"",$B$82,""'""),0)"),"Tousand sons (Xeroxjager Antoine)")</f>
        <v>Tousand sons (Xeroxjager Antoine)</v>
      </c>
      <c r="F45" s="50" t="str">
        <f>IFERROR(__xludf.DUMMYFUNCTION("QUERY($A$14:$G$19, CONCATENATE(""Select Col1 where Col"",match(B45,$A$4:$A$10,0),""&lt;3 and not  Col1 contains '"",$B$76,""' and not  Col1 contains '"",$B$74,""' and not  Col1 contains '"",$B$82,""'""),0)"),"Dark Angel Gladius (Pharn Jonathan)")</f>
        <v>Dark Angel Gladius (Pharn Jonathan)</v>
      </c>
      <c r="H45" s="10" t="str">
        <f>IFERROR(__xludf.DUMMYFUNCTION("filter(H24:H29,H24:H29&lt;&gt;B73,H24:H29&lt;&gt;B77)"),"Custodes - Shield Ost (Sideus)")</f>
        <v>Custodes - Shield Ost (Sideus)</v>
      </c>
      <c r="I45" s="10" t="str">
        <f>IFERROR(__xludf.DUMMYFUNCTION("filter(H55:H59,H55:H59&lt;&gt;B55)"),"Dark Angel Gladius (Pharn Jonathan)")</f>
        <v>Dark Angel Gladius (Pharn Jonathan)</v>
      </c>
      <c r="J45" s="10" t="str">
        <f>IFERROR(__xludf.DUMMYFUNCTION("filter(H55:H59,H55:H59&lt;&gt;B55,H55:H59&lt;&gt;B46)"),"Dark Angel Gladius (Pharn Jonathan)")</f>
        <v>Dark Angel Gladius (Pharn Jonathan)</v>
      </c>
    </row>
    <row r="46" outlineLevel="1">
      <c r="A46" s="51" t="s">
        <v>104</v>
      </c>
      <c r="B46" s="52" t="s">
        <v>15</v>
      </c>
      <c r="C46" s="53" t="s">
        <v>106</v>
      </c>
      <c r="D46" s="48"/>
      <c r="E46" s="49"/>
      <c r="F46" s="50" t="str">
        <f>IFERROR(__xludf.DUMMYFUNCTION("""COMPUTED_VALUE"""),"Necrons (AtadiloTho Jérome)")</f>
        <v>Necrons (AtadiloTho Jérome)</v>
      </c>
      <c r="H46" s="10" t="str">
        <f>IFERROR(__xludf.DUMMYFUNCTION("""COMPUTED_VALUE"""),"Votann - Hearthband (Maniaka)")</f>
        <v>Votann - Hearthband (Maniaka)</v>
      </c>
      <c r="I46" s="10" t="str">
        <f>IFERROR(__xludf.DUMMYFUNCTION("""COMPUTED_VALUE"""),"Necrons (AtadiloTho Jérome)")</f>
        <v>Necrons (AtadiloTho Jérome)</v>
      </c>
      <c r="J46" s="10" t="str">
        <f>IFERROR(__xludf.DUMMYFUNCTION("""COMPUTED_VALUE"""),"Tousand sons (Xeroxjager Antoine)")</f>
        <v>Tousand sons (Xeroxjager Antoine)</v>
      </c>
    </row>
    <row r="47" outlineLevel="1">
      <c r="A47" s="51" t="s">
        <v>105</v>
      </c>
      <c r="B47" s="52" t="s">
        <v>16</v>
      </c>
      <c r="C47" s="53" t="s">
        <v>107</v>
      </c>
      <c r="D47" s="48"/>
      <c r="E47" s="49"/>
      <c r="F47" s="50"/>
      <c r="H47" s="10" t="str">
        <f>IFERROR(__xludf.DUMMYFUNCTION("""COMPUTED_VALUE"""),"DeathWatch - Black Spear (Pac)")</f>
        <v>DeathWatch - Black Spear (Pac)</v>
      </c>
      <c r="I47" s="10" t="str">
        <f>IFERROR(__xludf.DUMMYFUNCTION("""COMPUTED_VALUE"""),"Tousand sons (Xeroxjager Antoine)")</f>
        <v>Tousand sons (Xeroxjager Antoine)</v>
      </c>
      <c r="J47" s="10"/>
    </row>
    <row r="48" outlineLevel="1">
      <c r="A48" s="1"/>
      <c r="B48" s="1"/>
      <c r="C48" s="1"/>
      <c r="D48" s="48"/>
      <c r="E48" s="49"/>
      <c r="F48" s="50"/>
      <c r="H48" s="10" t="str">
        <f>IFERROR(__xludf.DUMMYFUNCTION("""COMPUTED_VALUE"""),"Imperial Knights -  Questoris Companion (Joe.Gillian)")</f>
        <v>Imperial Knights -  Questoris Companion (Joe.Gillian)</v>
      </c>
      <c r="I48" s="10"/>
    </row>
    <row r="49" outlineLevel="1">
      <c r="A49" s="1"/>
      <c r="B49" s="1"/>
      <c r="C49" s="1"/>
      <c r="D49" s="48"/>
      <c r="E49" s="49"/>
      <c r="F49" s="50"/>
    </row>
    <row r="50" outlineLevel="1">
      <c r="H50" s="16" t="s">
        <v>93</v>
      </c>
      <c r="I50" s="16" t="s">
        <v>93</v>
      </c>
      <c r="J50" s="16" t="s">
        <v>93</v>
      </c>
    </row>
    <row r="51" outlineLevel="1"/>
    <row r="52" outlineLevel="1"/>
    <row r="53" outlineLevel="1">
      <c r="A53" s="39" t="s">
        <v>108</v>
      </c>
      <c r="C53" s="40"/>
      <c r="I53" s="16"/>
      <c r="J53" s="16"/>
    </row>
    <row r="54" outlineLevel="1">
      <c r="C54" s="41" t="s">
        <v>71</v>
      </c>
      <c r="D54" s="54" t="s">
        <v>72</v>
      </c>
      <c r="E54" s="55" t="s">
        <v>73</v>
      </c>
      <c r="F54" s="56" t="s">
        <v>77</v>
      </c>
      <c r="H54" s="8" t="s">
        <v>109</v>
      </c>
      <c r="I54" s="12" t="s">
        <v>110</v>
      </c>
      <c r="J54" s="12" t="s">
        <v>111</v>
      </c>
    </row>
    <row r="55" outlineLevel="1">
      <c r="A55" s="51" t="s">
        <v>112</v>
      </c>
      <c r="B55" s="52" t="s">
        <v>18</v>
      </c>
      <c r="C55" s="41"/>
      <c r="D55" s="48" t="str">
        <f>IFERROR(__xludf.DUMMYFUNCTION("QUERY($A$5:$G$10, CONCATENATE(""Select Col1 where Col"",match(B55,$A$13:$A$19,0),""&gt;3 and not  Col1 contains '"",$B$73,""' and not  Col1 contains '"",$B$77,""' and not  Col1 contains '"",$B$79,""'""),0)"),"Votann - Hearthband (Maniaka)")</f>
        <v>Votann - Hearthband (Maniaka)</v>
      </c>
      <c r="E55" s="49" t="str">
        <f>IFERROR(__xludf.DUMMYFUNCTION("QUERY($A$5:$G$10, CONCATENATE(""Select Col1 where Col"",match(B55,$A$13:$A$19,0),""=3 and not  Col1 contains '"",$B$73,""' and not  Col1 contains '"",$B$77,""' and not  Col1 contains '"",$B$79,""'""),0)"),"DeathWatch - Black Spear (Pac)")</f>
        <v>DeathWatch - Black Spear (Pac)</v>
      </c>
      <c r="F55" s="50" t="str">
        <f>IFERROR(__xludf.DUMMYFUNCTION("QUERY($A$5:$G$10, CONCATENATE(""Select Col1 where Col"",match(B55,$A$13:$A$19,0),""&lt;3 and not  Col1 contains '"",$B$73,""' and not  Col1 contains '"",$B$77,""' and not  Col1 contains '"",$B$79,""'""),0)"),"#N/A")</f>
        <v>#N/A</v>
      </c>
      <c r="H55" s="10" t="str">
        <f>IFERROR(__xludf.DUMMYFUNCTION("filter(H34:H39,H34:H39&lt;&gt;B74,H34:H39&lt;&gt;B76)"),"Dark Angel Gladius (Pharn Jonathan)")</f>
        <v>Dark Angel Gladius (Pharn Jonathan)</v>
      </c>
      <c r="I55" s="10" t="str">
        <f>IFERROR(__xludf.DUMMYFUNCTION("filter(H45:H49,H45:H49&lt;&gt;B45)"),"Votann - Hearthband (Maniaka)")</f>
        <v>Votann - Hearthband (Maniaka)</v>
      </c>
      <c r="J55" s="10" t="str">
        <f>IFERROR(__xludf.DUMMYFUNCTION("filter(H45:H49,H45:H49&lt;&gt;B45,H45:H49&lt;&gt;B46)"),"Votann - Hearthband (Maniaka)")</f>
        <v>Votann - Hearthband (Maniaka)</v>
      </c>
    </row>
    <row r="56" outlineLevel="1">
      <c r="A56" s="45" t="s">
        <v>114</v>
      </c>
      <c r="B56" s="46" t="s">
        <v>143</v>
      </c>
      <c r="C56" s="53" t="s">
        <v>106</v>
      </c>
      <c r="D56" s="48"/>
      <c r="E56" s="49" t="str">
        <f>IFERROR(__xludf.DUMMYFUNCTION("""COMPUTED_VALUE"""),"Imperial Knights -  Questoris Companion (Joe.Gillian)")</f>
        <v>Imperial Knights -  Questoris Companion (Joe.Gillian)</v>
      </c>
      <c r="F56" s="50"/>
      <c r="H56" s="10" t="str">
        <f>IFERROR(__xludf.DUMMYFUNCTION("""COMPUTED_VALUE"""),"Necrons (AtadiloTho Jérome)")</f>
        <v>Necrons (AtadiloTho Jérome)</v>
      </c>
      <c r="I56" s="10" t="str">
        <f>IFERROR(__xludf.DUMMYFUNCTION("""COMPUTED_VALUE"""),"DeathWatch - Black Spear (Pac)")</f>
        <v>DeathWatch - Black Spear (Pac)</v>
      </c>
      <c r="J56" s="10" t="str">
        <f>IFERROR(__xludf.DUMMYFUNCTION("""COMPUTED_VALUE"""),"DeathWatch - Black Spear (Pac)")</f>
        <v>DeathWatch - Black Spear (Pac)</v>
      </c>
    </row>
    <row r="57" outlineLevel="1">
      <c r="A57" s="45" t="s">
        <v>114</v>
      </c>
      <c r="B57" s="46" t="s">
        <v>144</v>
      </c>
      <c r="C57" s="53" t="s">
        <v>107</v>
      </c>
      <c r="D57" s="48"/>
      <c r="E57" s="49"/>
      <c r="F57" s="50"/>
      <c r="H57" s="10" t="str">
        <f>IFERROR(__xludf.DUMMYFUNCTION("""COMPUTED_VALUE"""),"Tousand sons (Xeroxjager Antoine)")</f>
        <v>Tousand sons (Xeroxjager Antoine)</v>
      </c>
      <c r="I57" s="10" t="str">
        <f>IFERROR(__xludf.DUMMYFUNCTION("""COMPUTED_VALUE"""),"Imperial Knights -  Questoris Companion (Joe.Gillian)")</f>
        <v>Imperial Knights -  Questoris Companion (Joe.Gillian)</v>
      </c>
      <c r="J57" s="10" t="str">
        <f>IFERROR(__xludf.DUMMYFUNCTION("""COMPUTED_VALUE"""),"Imperial Knights -  Questoris Companion (Joe.Gillian)")</f>
        <v>Imperial Knights -  Questoris Companion (Joe.Gillian)</v>
      </c>
    </row>
    <row r="58" outlineLevel="1">
      <c r="A58" s="1"/>
      <c r="B58" s="1"/>
      <c r="C58" s="1"/>
      <c r="D58" s="48"/>
      <c r="E58" s="49"/>
      <c r="F58" s="50"/>
      <c r="H58" s="10" t="str">
        <f>IFERROR(__xludf.DUMMYFUNCTION("""COMPUTED_VALUE"""),"Astra Militarum (Punkachien Marc)")</f>
        <v>Astra Militarum (Punkachien Marc)</v>
      </c>
      <c r="I58" s="10"/>
      <c r="J58" s="10"/>
    </row>
    <row r="59" outlineLevel="1">
      <c r="A59" s="1"/>
      <c r="B59" s="1"/>
      <c r="C59" s="1"/>
      <c r="D59" s="48"/>
      <c r="E59" s="49"/>
      <c r="F59" s="50"/>
    </row>
    <row r="60" outlineLevel="1">
      <c r="H60" s="16" t="s">
        <v>93</v>
      </c>
      <c r="I60" s="16" t="s">
        <v>93</v>
      </c>
      <c r="J60" s="16" t="s">
        <v>93</v>
      </c>
    </row>
    <row r="61" outlineLevel="1"/>
    <row r="62" outlineLevel="1"/>
    <row r="63" outlineLevel="1">
      <c r="A63" s="39" t="s">
        <v>116</v>
      </c>
    </row>
    <row r="64" outlineLevel="1"/>
    <row r="65" outlineLevel="1"/>
    <row r="68">
      <c r="A68" s="14" t="s">
        <v>117</v>
      </c>
    </row>
    <row r="70">
      <c r="A70" s="59" t="s">
        <v>118</v>
      </c>
      <c r="B70" s="16" t="s">
        <v>8</v>
      </c>
    </row>
    <row r="72">
      <c r="C72" s="60" t="s">
        <v>119</v>
      </c>
      <c r="D72" s="41" t="s">
        <v>120</v>
      </c>
      <c r="E72" s="41" t="s">
        <v>121</v>
      </c>
      <c r="F72" s="41" t="s">
        <v>122</v>
      </c>
    </row>
    <row r="73">
      <c r="A73" s="61" t="s">
        <v>123</v>
      </c>
      <c r="B73" s="46" t="str">
        <f>B24</f>
        <v>Adeptus Mechanicus - HaloScreed (La Loutre)</v>
      </c>
      <c r="C73" s="53" t="s">
        <v>3</v>
      </c>
      <c r="D73" s="62">
        <v>11.0</v>
      </c>
      <c r="E73" s="62">
        <v>67.0</v>
      </c>
      <c r="F73" s="63">
        <f>IF(D73&gt;D74,2,if(D73&lt;D74,0,1))</f>
        <v>2</v>
      </c>
    </row>
    <row r="74">
      <c r="A74" s="31"/>
      <c r="B74" s="52" t="str">
        <f>IFERROR(__xludf.DUMMYFUNCTION("FILTER(B25:B26,C25:C26=""Oui"")"),"T au (DoubleRation David)")</f>
        <v>T au (DoubleRation David)</v>
      </c>
      <c r="C74" s="53" t="s">
        <v>3</v>
      </c>
      <c r="D74" s="62">
        <v>9.0</v>
      </c>
      <c r="E74" s="62">
        <v>58.0</v>
      </c>
      <c r="F74" s="64">
        <f>2-F73</f>
        <v>0</v>
      </c>
    </row>
    <row r="75">
      <c r="A75" s="65" t="s">
        <v>124</v>
      </c>
      <c r="B75" s="53" t="s">
        <v>125</v>
      </c>
      <c r="F75" s="29"/>
    </row>
    <row r="76">
      <c r="A76" s="61" t="s">
        <v>123</v>
      </c>
      <c r="B76" s="52" t="str">
        <f>B34</f>
        <v>Tyranides (El_MoZo Morgan)</v>
      </c>
      <c r="C76" s="53" t="s">
        <v>3</v>
      </c>
      <c r="D76" s="62">
        <v>8.0</v>
      </c>
      <c r="E76" s="62">
        <v>62.0</v>
      </c>
      <c r="F76" s="64">
        <f>IF(D76&gt;D77,2,if(D76&lt;D77,0,1))</f>
        <v>0</v>
      </c>
    </row>
    <row r="77">
      <c r="A77" s="31"/>
      <c r="B77" s="46" t="str">
        <f>IFERROR(__xludf.DUMMYFUNCTION("FILTER(B35:B36,C35:C36=""Oui"")"),"Chaos Knight - Infernal Lance (S@rd)")</f>
        <v>Chaos Knight - Infernal Lance (S@rd)</v>
      </c>
      <c r="C77" s="53" t="s">
        <v>3</v>
      </c>
      <c r="D77" s="62">
        <v>12.0</v>
      </c>
      <c r="E77" s="62">
        <v>73.0</v>
      </c>
      <c r="F77" s="63">
        <f>2-F76</f>
        <v>2</v>
      </c>
    </row>
    <row r="78">
      <c r="A78" s="65" t="s">
        <v>124</v>
      </c>
      <c r="B78" s="53" t="s">
        <v>125</v>
      </c>
      <c r="F78" s="29"/>
    </row>
    <row r="79">
      <c r="A79" s="61" t="s">
        <v>123</v>
      </c>
      <c r="B79" s="46" t="str">
        <f>B45</f>
        <v>Custodes - Shield Ost (Sideus)</v>
      </c>
      <c r="C79" s="53" t="s">
        <v>3</v>
      </c>
      <c r="D79" s="62">
        <v>19.0</v>
      </c>
      <c r="E79" s="62">
        <v>90.0</v>
      </c>
      <c r="F79" s="63">
        <f>IF(D79&gt;D80,2,if(D79&lt;D80,0,1))</f>
        <v>2</v>
      </c>
    </row>
    <row r="80">
      <c r="A80" s="31"/>
      <c r="B80" s="52" t="str">
        <f>IFERROR(__xludf.DUMMYFUNCTION("FILTER(B46:B47,C46:C47=""Oui"")"),"Necrons (AtadiloTho Jérome)")</f>
        <v>Necrons (AtadiloTho Jérome)</v>
      </c>
      <c r="C80" s="53" t="s">
        <v>3</v>
      </c>
      <c r="D80" s="62">
        <v>1.0</v>
      </c>
      <c r="E80" s="62">
        <v>44.0</v>
      </c>
      <c r="F80" s="64">
        <f>2-F79</f>
        <v>0</v>
      </c>
    </row>
    <row r="81">
      <c r="A81" s="65" t="s">
        <v>124</v>
      </c>
      <c r="B81" s="53" t="s">
        <v>125</v>
      </c>
      <c r="F81" s="29"/>
    </row>
    <row r="82">
      <c r="A82" s="61" t="s">
        <v>123</v>
      </c>
      <c r="B82" s="52" t="str">
        <f>B55</f>
        <v>Astra Militarum (Punkachien Marc)</v>
      </c>
      <c r="C82" s="53" t="s">
        <v>3</v>
      </c>
      <c r="D82" s="62">
        <v>2.0</v>
      </c>
      <c r="E82" s="62">
        <v>40.0</v>
      </c>
      <c r="F82" s="64">
        <f>IF(D82&gt;D83,2,if(D82&lt;D83,0,1))</f>
        <v>0</v>
      </c>
    </row>
    <row r="83">
      <c r="A83" s="31"/>
      <c r="B83" s="46" t="str">
        <f>IFERROR(__xludf.DUMMYFUNCTION("FILTER(B56:B57,C56:C57=""Oui"")"),"Votann - Hearthband (Maniaka)")</f>
        <v>Votann - Hearthband (Maniaka)</v>
      </c>
      <c r="C83" s="53" t="s">
        <v>3</v>
      </c>
      <c r="D83" s="62">
        <v>18.0</v>
      </c>
      <c r="E83" s="62">
        <v>84.0</v>
      </c>
      <c r="F83" s="63">
        <f>2-F82</f>
        <v>2</v>
      </c>
    </row>
    <row r="84">
      <c r="A84" s="65" t="s">
        <v>124</v>
      </c>
      <c r="B84" s="53" t="s">
        <v>125</v>
      </c>
      <c r="F84" s="29"/>
    </row>
    <row r="85">
      <c r="A85" s="14" t="s">
        <v>126</v>
      </c>
      <c r="F85" s="29"/>
    </row>
    <row r="86">
      <c r="A86" s="61" t="s">
        <v>123</v>
      </c>
      <c r="B86" s="46" t="str">
        <f>IFERROR(__xludf.DUMMYFUNCTION("FILTER(B56:B57,C56:C57=""Non"")"),"DeathWatch - Black Spear (Pac)")</f>
        <v>DeathWatch - Black Spear (Pac)</v>
      </c>
      <c r="C86" s="53" t="s">
        <v>3</v>
      </c>
      <c r="D86" s="62">
        <v>20.0</v>
      </c>
      <c r="E86" s="62">
        <v>89.0</v>
      </c>
      <c r="F86" s="63">
        <f>IF(D86&gt;D87,2,if(D86&lt;D87,0,1))</f>
        <v>2</v>
      </c>
    </row>
    <row r="87">
      <c r="A87" s="31"/>
      <c r="B87" s="52" t="str">
        <f>IFERROR(__xludf.DUMMYFUNCTION("FILTER(B46:B47,C46:C47=""Non"")"),"Tousand sons (Xeroxjager Antoine)")</f>
        <v>Tousand sons (Xeroxjager Antoine)</v>
      </c>
      <c r="C87" s="53" t="s">
        <v>3</v>
      </c>
      <c r="D87" s="62">
        <v>0.0</v>
      </c>
      <c r="E87" s="62">
        <v>38.0</v>
      </c>
      <c r="F87" s="64">
        <f>2-F86</f>
        <v>0</v>
      </c>
    </row>
    <row r="88">
      <c r="A88" s="65" t="s">
        <v>124</v>
      </c>
      <c r="B88" s="53" t="s">
        <v>125</v>
      </c>
      <c r="F88" s="29"/>
    </row>
    <row r="89">
      <c r="A89" s="14" t="s">
        <v>127</v>
      </c>
      <c r="F89" s="29"/>
    </row>
    <row r="90">
      <c r="A90" s="61" t="s">
        <v>123</v>
      </c>
      <c r="B90" s="46" t="str">
        <f>IFERROR(__xludf.DUMMYFUNCTION("filter(H45:H48,H45:H48&lt;&gt;B79,H45:H48&lt;&gt;B83,H45:H48&lt;&gt;B86)"),"Imperial Knights -  Questoris Companion (Joe.Gillian)")</f>
        <v>Imperial Knights -  Questoris Companion (Joe.Gillian)</v>
      </c>
      <c r="C90" s="53" t="s">
        <v>3</v>
      </c>
      <c r="D90" s="62">
        <v>12.0</v>
      </c>
      <c r="E90" s="62">
        <v>68.0</v>
      </c>
      <c r="F90" s="63">
        <f>IF(D90&gt;D91,2,if(D90&lt;D91,0,1))</f>
        <v>2</v>
      </c>
    </row>
    <row r="91">
      <c r="A91" s="31"/>
      <c r="B91" s="52" t="str">
        <f>IFERROR(__xludf.DUMMYFUNCTION("FILTER(H55:H58,H55:H58&lt;&gt;B80,H55:H58&lt;&gt;B82,H55:H58&lt;&gt;B87)"),"Dark Angel Gladius (Pharn Jonathan)")</f>
        <v>Dark Angel Gladius (Pharn Jonathan)</v>
      </c>
      <c r="C91" s="53" t="s">
        <v>3</v>
      </c>
      <c r="D91" s="62">
        <v>8.0</v>
      </c>
      <c r="E91" s="62">
        <v>56.0</v>
      </c>
      <c r="F91" s="64">
        <f>2-F90</f>
        <v>0</v>
      </c>
    </row>
    <row r="92">
      <c r="A92" s="65" t="s">
        <v>124</v>
      </c>
      <c r="B92" s="53" t="s">
        <v>125</v>
      </c>
    </row>
    <row r="94">
      <c r="B94" s="66" t="s">
        <v>8</v>
      </c>
      <c r="C94" s="67"/>
      <c r="D94" s="68">
        <f t="shared" ref="D94:F94" si="1">D74+D76+D80+D82+D87+D91</f>
        <v>28</v>
      </c>
      <c r="E94" s="68">
        <f t="shared" si="1"/>
        <v>298</v>
      </c>
      <c r="F94" s="68">
        <f t="shared" si="1"/>
        <v>0</v>
      </c>
    </row>
    <row r="95">
      <c r="B95" s="69" t="s">
        <v>35</v>
      </c>
      <c r="C95" s="67"/>
      <c r="D95" s="70">
        <f t="shared" ref="D95:F95" si="2">D73+D77+D79+D83+D86+D90</f>
        <v>92</v>
      </c>
      <c r="E95" s="70">
        <f t="shared" si="2"/>
        <v>471</v>
      </c>
      <c r="F95" s="70">
        <f t="shared" si="2"/>
        <v>12</v>
      </c>
    </row>
  </sheetData>
  <mergeCells count="6">
    <mergeCell ref="A73:A74"/>
    <mergeCell ref="A76:A77"/>
    <mergeCell ref="A79:A80"/>
    <mergeCell ref="A82:A83"/>
    <mergeCell ref="A86:A87"/>
    <mergeCell ref="A90:A91"/>
  </mergeCells>
  <conditionalFormatting sqref="B5:I10 B14:G19">
    <cfRule type="colorScale" priority="1">
      <colorScale>
        <cfvo type="min"/>
        <cfvo type="formula" val="3"/>
        <cfvo type="max"/>
        <color rgb="FFFF0000"/>
        <color rgb="FFFFFF00"/>
        <color rgb="FF57BB8A"/>
      </colorScale>
    </cfRule>
  </conditionalFormatting>
  <dataValidations>
    <dataValidation type="list" allowBlank="1" showErrorMessage="1" sqref="B34">
      <formula1>'Ronde 5'!$H$34:$H$40</formula1>
    </dataValidation>
    <dataValidation type="list" allowBlank="1" showErrorMessage="1" sqref="B46">
      <formula1>'Ronde 5'!$I$45:$I$50</formula1>
    </dataValidation>
    <dataValidation type="list" allowBlank="1" showErrorMessage="1" sqref="B1">
      <formula1>" 🚧,1,2,3,4,5"</formula1>
    </dataValidation>
    <dataValidation type="list" allowBlank="1" showErrorMessage="1" sqref="B57">
      <formula1>'Ronde 5'!$J$55:$J$60</formula1>
    </dataValidation>
    <dataValidation type="list" allowBlank="1" showErrorMessage="1" sqref="B25">
      <formula1>$I$24:$I$30</formula1>
    </dataValidation>
    <dataValidation type="list" allowBlank="1" showErrorMessage="1" sqref="B45">
      <formula1>$H$45:$H$50</formula1>
    </dataValidation>
    <dataValidation type="list" allowBlank="1" showErrorMessage="1" sqref="B75 B78 B81 B84 B88 B92">
      <formula1>"🚧,Layout 1,Layout 2,Layout 3,Layout 4,Layout 5,Layout 6"</formula1>
    </dataValidation>
    <dataValidation type="list" allowBlank="1" showErrorMessage="1" sqref="B36">
      <formula1>$J$34:$J$40</formula1>
    </dataValidation>
    <dataValidation type="list" allowBlank="1" showErrorMessage="1" sqref="B55">
      <formula1>'Ronde 5'!$H$55:$H$60</formula1>
    </dataValidation>
    <dataValidation type="list" allowBlank="1" showErrorMessage="1" sqref="B70">
      <formula1>'Ronde 5'!$D$1:$D$2</formula1>
    </dataValidation>
    <dataValidation type="list" allowBlank="1" showErrorMessage="1" sqref="B47">
      <formula1>'Ronde 5'!$J$45:$J$50</formula1>
    </dataValidation>
    <dataValidation type="list" allowBlank="1" showErrorMessage="1" sqref="B35">
      <formula1>$I$34:$I$40</formula1>
    </dataValidation>
    <dataValidation type="list" allowBlank="1" showErrorMessage="1" sqref="B56">
      <formula1>'Ronde 5'!$I$55:$I$60</formula1>
    </dataValidation>
    <dataValidation type="list" allowBlank="1" showErrorMessage="1" sqref="C25:C26 C35:C36 C46:C47 C56:C57 C73:C74 C76:C77 C79:C80 C82:C83 C86:C87 C90:C91">
      <formula1>" 🚧,Oui,Non"</formula1>
    </dataValidation>
    <dataValidation type="list" allowBlank="1" showErrorMessage="1" sqref="B24">
      <formula1>$H$24:$H$30</formula1>
    </dataValidation>
    <dataValidation type="list" allowBlank="1" showErrorMessage="1" sqref="B26">
      <formula1>$J$24:$J$30</formula1>
    </dataValidation>
  </dataValidations>
  <drawing r:id="rId1"/>
</worksheet>
</file>